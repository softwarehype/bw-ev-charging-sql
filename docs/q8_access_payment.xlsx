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8 Access &amp; payment" sheetId="1" state="visible" r:id="rId3"/>
    <sheet name="Finding 8" sheetId="2" state="visible" r:id="rId4"/>
    <sheet name="All find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<sst xmlns="http://schemas.openxmlformats.org/spreadsheetml/2006/main" count="45" uniqueCount="39">
  <si>
    <t xml:space="preserve">Q8: What share of BW stations is open 24/7, and what share accepts card payment?</t>
  </si>
  <si>
    <t xml:space="preserve">Source: BNetzA Ladesäulenregister, data as of 30.09.2026 (clean.charging_stations, 08_analysis.sql). Card = Kreditkarte or Debitkarte (NFC or card reader); RFID-Karte excluded.</t>
  </si>
  <si>
    <t xml:space="preserve">Counts: station type</t>
  </si>
  <si>
    <t xml:space="preserve">Stations</t>
  </si>
  <si>
    <t xml:space="preserve">Confirmed 24/7 ('247')</t>
  </si>
  <si>
    <t xml:space="preserve">Restricted ('Eingeschränkt')</t>
  </si>
  <si>
    <t xml:space="preserve">Hours unknown ('Keine Angabe')</t>
  </si>
  <si>
    <t xml:space="preserve">Card payment</t>
  </si>
  <si>
    <t xml:space="preserve">Payment unknown (NULL)</t>
  </si>
  <si>
    <t xml:space="preserve">Normalladeeinrichtung</t>
  </si>
  <si>
    <t xml:space="preserve">Schnellladeeinrichtung</t>
  </si>
  <si>
    <t xml:space="preserve">Baden-Württemberg</t>
  </si>
  <si>
    <t xml:space="preserve">Shares: station type</t>
  </si>
  <si>
    <t xml:space="preserve">Card payment gap: fast vs normal</t>
  </si>
  <si>
    <t xml:space="preserve">24/7 shares are minimums: 'Keine Angabe' means not specified, not closed.</t>
  </si>
  <si>
    <t xml:space="preserve">Finding 8: Fast chargers are far more driver-friendly, but data gaps limit the picture</t>
  </si>
  <si>
    <t xml:space="preserve">Answers</t>
  </si>
  <si>
    <t xml:space="preserve">1. 24/7 access</t>
  </si>
  <si>
    <t xml:space="preserve">41.0% of fast stations are confirmed 24/7 vs 25.6% of normal stations. Fast chargers sit along roads and at hubs for drivers in transit; many normal chargers are at workplaces, hotels or car parks with closing times.</t>
  </si>
  <si>
    <t xml:space="preserve">2. Card payment</t>
  </si>
  <si>
    <t xml:space="preserve">57.8% of fast stations accept debit/credit card vs 12.4% of normal stations, a 4.7-fold gap. Even among fast stations, about 42% don't list card payment.</t>
  </si>
  <si>
    <t xml:space="preserve">3. Unknown hours</t>
  </si>
  <si>
    <t xml:space="preserve">72.1% of normal and 56.4% of fast stations have no opening hours specified, so 24/7 shares are minimums. Write 'at least 41% of fast stations are confirmed open 24/7', not 'only 41% are open 24/7'. 10.7% of normal stations report no payment info at all.</t>
  </si>
  <si>
    <t xml:space="preserve">Optional next step</t>
  </si>
  <si>
    <t xml:space="preserve">The EU card-payment rule (AFIR) applies to new chargers of 50 kW and above from April 2024 (verify on the EU or BNetzA website). Check whether fast stations commissioned since 2024 have a higher card-payment share than older ones.</t>
  </si>
  <si>
    <t xml:space="preserve">Model wording (rewrite in your own words)</t>
  </si>
  <si>
    <t xml:space="preserve">Finding 8</t>
  </si>
  <si>
    <t xml:space="preserve">57.8% of BW's fast-charging stations accept debit/credit card, against 12.4% of normal stations. At least 41.0% of fast and 25.6% of normal stations are confirmed open 24/7. Limitation: opening hours are unspecified for 72% of normal and 56% of fast stations, so 24/7 shares are minimums; missing data is not treated as 'closed'.</t>
  </si>
  <si>
    <t xml:space="preserve">Phase 3 complete: 8 questions, 8 findings</t>
  </si>
  <si>
    <t xml:space="preserve">#</t>
  </si>
  <si>
    <t xml:space="preserve">Finding (short)</t>
  </si>
  <si>
    <t xml:space="preserve">BW = Germany's #3 network (16.8% of charge points)</t>
  </si>
  <si>
    <t xml:space="preserve">Build-out peaked 2023, slowing since</t>
  </si>
  <si>
    <t xml:space="preserve">Concentrated: half the network in 12 of 44 districts, Stuttgart alone 12.4%</t>
  </si>
  <si>
    <t xml:space="preserve">Stuttgart: most chargers, lowest fast share (5.4%)</t>
  </si>
  <si>
    <t xml:space="preserve">Capacity per point varies 3-fold (20–62 kW)</t>
  </si>
  <si>
    <t xml:space="preserve">Fragmented overall, dominated locally; carmakers shape Böblingen/Stuttgart</t>
  </si>
  <si>
    <t xml:space="preserve">82.5% AC; fast charging = high-power CCS</t>
  </si>
  <si>
    <t xml:space="preserve">Fast chargers: 4.7× more card payment; hours data mostly missing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</si>
</sst>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\×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15394</v>
      </c>
      <c r="C5" s="5" t="n">
        <v>3934</v>
      </c>
      <c r="D5" s="5" t="n">
        <v>365</v>
      </c>
      <c r="E5" s="5" t="n">
        <v>11095</v>
      </c>
      <c r="F5" s="5" t="n">
        <v>1906</v>
      </c>
      <c r="G5" s="5" t="n">
        <v>1650</v>
      </c>
    </row>
    <row r="6" customFormat="false" ht="15" hidden="false" customHeight="false" outlineLevel="0" collapsed="false">
      <c r="A6" s="4" t="s">
        <v>10</v>
      </c>
      <c r="B6" s="5" t="n">
        <v>3624</v>
      </c>
      <c r="C6" s="5" t="n">
        <v>1487</v>
      </c>
      <c r="D6" s="5" t="n">
        <v>92</v>
      </c>
      <c r="E6" s="5" t="n">
        <v>2045</v>
      </c>
      <c r="F6" s="5" t="n">
        <v>2094</v>
      </c>
      <c r="G6" s="5" t="n">
        <v>178</v>
      </c>
    </row>
    <row r="7" customFormat="false" ht="15" hidden="false" customHeight="false" outlineLevel="0" collapsed="false">
      <c r="A7" s="6" t="s">
        <v>11</v>
      </c>
      <c r="B7" s="7" t="n">
        <f aca="false">SUM(B5:B6)</f>
        <v>19018</v>
      </c>
      <c r="C7" s="7" t="n">
        <f aca="false">SUM(C5:C6)</f>
        <v>5421</v>
      </c>
      <c r="D7" s="7" t="n">
        <f aca="false">SUM(D5:D6)</f>
        <v>457</v>
      </c>
      <c r="E7" s="7" t="n">
        <f aca="false">SUM(E5:E6)</f>
        <v>13140</v>
      </c>
      <c r="F7" s="7" t="n">
        <f aca="false">SUM(F5:F6)</f>
        <v>4000</v>
      </c>
      <c r="G7" s="7" t="n">
        <f aca="false">SUM(G5:G6)</f>
        <v>1828</v>
      </c>
    </row>
    <row r="9" customFormat="false" ht="52.2" hidden="false" customHeight="false" outlineLevel="0" collapsed="false">
      <c r="A9" s="3" t="s">
        <v>12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7</v>
      </c>
      <c r="G9" s="3" t="s">
        <v>8</v>
      </c>
    </row>
    <row r="10" customFormat="false" ht="15" hidden="false" customHeight="false" outlineLevel="0" collapsed="false">
      <c r="A10" s="4" t="str">
        <f aca="false">A5</f>
        <v>Normalladeeinrichtung</v>
      </c>
      <c r="B10" s="5" t="n">
        <f aca="false">B5</f>
        <v>15394</v>
      </c>
      <c r="C10" s="8" t="n">
        <f aca="false">C5/$B5</f>
        <v>0.255554111991685</v>
      </c>
      <c r="D10" s="8" t="n">
        <f aca="false">D5/$B5</f>
        <v>0.0237105365726907</v>
      </c>
      <c r="E10" s="8" t="n">
        <f aca="false">E5/$B5</f>
        <v>0.720735351435624</v>
      </c>
      <c r="F10" s="8" t="n">
        <f aca="false">F5/$B5</f>
        <v>0.123814473171365</v>
      </c>
      <c r="G10" s="8" t="n">
        <f aca="false">G5/$B5</f>
        <v>0.107184617383396</v>
      </c>
    </row>
    <row r="11" customFormat="false" ht="15" hidden="false" customHeight="false" outlineLevel="0" collapsed="false">
      <c r="A11" s="4" t="str">
        <f aca="false">A6</f>
        <v>Schnellladeeinrichtung</v>
      </c>
      <c r="B11" s="5" t="n">
        <f aca="false">B6</f>
        <v>3624</v>
      </c>
      <c r="C11" s="8" t="n">
        <f aca="false">C6/$B6</f>
        <v>0.410320088300221</v>
      </c>
      <c r="D11" s="8" t="n">
        <f aca="false">D6/$B6</f>
        <v>0.0253863134657837</v>
      </c>
      <c r="E11" s="8" t="n">
        <f aca="false">E6/$B6</f>
        <v>0.564293598233996</v>
      </c>
      <c r="F11" s="8" t="n">
        <f aca="false">F6/$B6</f>
        <v>0.577814569536424</v>
      </c>
      <c r="G11" s="8" t="n">
        <f aca="false">G6/$B6</f>
        <v>0.0491169977924945</v>
      </c>
    </row>
    <row r="12" customFormat="false" ht="15" hidden="false" customHeight="false" outlineLevel="0" collapsed="false">
      <c r="A12" s="9" t="str">
        <f aca="false">A7</f>
        <v>Baden-Württemberg</v>
      </c>
      <c r="B12" s="7" t="n">
        <f aca="false">B7</f>
        <v>19018</v>
      </c>
      <c r="C12" s="10" t="n">
        <f aca="false">C7/$B7</f>
        <v>0.28504574613524</v>
      </c>
      <c r="D12" s="10" t="n">
        <f aca="false">D7/$B7</f>
        <v>0.0240298664423178</v>
      </c>
      <c r="E12" s="10" t="n">
        <f aca="false">E7/$B7</f>
        <v>0.690924387422442</v>
      </c>
      <c r="F12" s="10" t="n">
        <f aca="false">F7/$B7</f>
        <v>0.210327058576086</v>
      </c>
      <c r="G12" s="10" t="n">
        <f aca="false">G7/$B7</f>
        <v>0.0961194657692712</v>
      </c>
    </row>
    <row r="14" customFormat="false" ht="15" hidden="false" customHeight="false" outlineLevel="0" collapsed="false">
      <c r="A14" s="6" t="s">
        <v>13</v>
      </c>
      <c r="B14" s="11" t="n">
        <f aca="false">F11/F10</f>
        <v>4.66677727358012</v>
      </c>
    </row>
    <row r="16" customFormat="false" ht="15" hidden="false" customHeight="false" outlineLevel="0" collapsed="false">
      <c r="A16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15</v>
      </c>
    </row>
    <row r="3" customFormat="false" ht="15" hidden="false" customHeight="false" outlineLevel="0" collapsed="false">
      <c r="A3" s="12" t="s">
        <v>16</v>
      </c>
    </row>
    <row r="4" customFormat="false" ht="39.55" hidden="false" customHeight="false" outlineLevel="0" collapsed="false">
      <c r="A4" s="13" t="s">
        <v>17</v>
      </c>
      <c r="B4" s="14" t="s">
        <v>18</v>
      </c>
    </row>
    <row r="5" customFormat="false" ht="26.85" hidden="false" customHeight="false" outlineLevel="0" collapsed="false">
      <c r="A5" s="13" t="s">
        <v>19</v>
      </c>
      <c r="B5" s="14" t="s">
        <v>20</v>
      </c>
    </row>
    <row r="6" customFormat="false" ht="39.55" hidden="false" customHeight="false" outlineLevel="0" collapsed="false">
      <c r="A6" s="13" t="s">
        <v>21</v>
      </c>
      <c r="B6" s="14" t="s">
        <v>22</v>
      </c>
    </row>
    <row r="7" customFormat="false" ht="39.55" hidden="false" customHeight="false" outlineLevel="0" collapsed="false">
      <c r="A7" s="13" t="s">
        <v>23</v>
      </c>
      <c r="B7" s="14" t="s">
        <v>24</v>
      </c>
    </row>
    <row r="9" customFormat="false" ht="39.55" hidden="false" customHeight="false" outlineLevel="0" collapsed="false">
      <c r="A9" s="12" t="s">
        <v>25</v>
      </c>
    </row>
    <row r="10" customFormat="false" ht="52.2" hidden="false" customHeight="false" outlineLevel="0" collapsed="false">
      <c r="A10" s="13" t="s">
        <v>26</v>
      </c>
      <c r="B10" s="1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15" t="s">
        <v>29</v>
      </c>
      <c r="B3" s="15" t="s">
        <v>30</v>
      </c>
    </row>
    <row r="4" customFormat="false" ht="15" hidden="false" customHeight="false" outlineLevel="0" collapsed="false">
      <c r="A4" s="4" t="n">
        <v>1</v>
      </c>
      <c r="B4" s="4" t="s">
        <v>31</v>
      </c>
    </row>
    <row r="5" customFormat="false" ht="15" hidden="false" customHeight="false" outlineLevel="0" collapsed="false">
      <c r="A5" s="4" t="n">
        <v>2</v>
      </c>
      <c r="B5" s="4" t="s">
        <v>32</v>
      </c>
    </row>
    <row r="6" customFormat="false" ht="15" hidden="false" customHeight="false" outlineLevel="0" collapsed="false">
      <c r="A6" s="4" t="n">
        <v>3</v>
      </c>
      <c r="B6" s="4" t="s">
        <v>33</v>
      </c>
    </row>
    <row r="7" customFormat="false" ht="15" hidden="false" customHeight="false" outlineLevel="0" collapsed="false">
      <c r="A7" s="4" t="n">
        <v>4</v>
      </c>
      <c r="B7" s="4" t="s">
        <v>34</v>
      </c>
    </row>
    <row r="8" customFormat="false" ht="15" hidden="false" customHeight="false" outlineLevel="0" collapsed="false">
      <c r="A8" s="4" t="n">
        <v>5</v>
      </c>
      <c r="B8" s="4" t="s">
        <v>35</v>
      </c>
    </row>
    <row r="9" customFormat="false" ht="15" hidden="false" customHeight="false" outlineLevel="0" collapsed="false">
      <c r="A9" s="4" t="n">
        <v>6</v>
      </c>
      <c r="B9" s="4" t="s">
        <v>36</v>
      </c>
    </row>
    <row r="10" customFormat="false" ht="15" hidden="false" customHeight="false" outlineLevel="0" collapsed="false">
      <c r="A10" s="4" t="n">
        <v>7</v>
      </c>
      <c r="B10" s="4" t="s">
        <v>37</v>
      </c>
    </row>
    <row r="11" customFormat="false" ht="15" hidden="false" customHeight="false" outlineLevel="0" collapsed="false">
      <c r="A11" s="4" t="n">
        <v>8</v>
      </c>
      <c r="B11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2026-10-26T13:11:52Z</dcterms:created>
  <dc:creator>openpyxl</dc:creator>
  <dc:description/>
  <dc:language>en-US</dc:language>
  <cp:lastModifiedBy/>
  <dcterms:modified xsi:type="dcterms:W3CDTF">2026-10-26T13:11:52Z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