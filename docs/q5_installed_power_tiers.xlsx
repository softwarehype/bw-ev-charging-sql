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5 Districts" sheetId="1" state="visible" r:id="rId3"/>
    <sheet name="Finding 5"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<sst xmlns="http://schemas.openxmlformats.org/spreadsheetml/2006/main" count="72" uniqueCount="72">
  <si>
    <t xml:space="preserve">Q5: How do BW districts rank by installed charging power, and which tier does each fall into?</t>
  </si>
  <si>
    <t xml:space="preserve">Source: BNetzA Ladesäulenregister, data as of 30.09.2026 (clean.charging_stations, 08_analysis.sql). Installed kW = sum of rated_power_kw (capacity, not usage).</t>
  </si>
  <si>
    <t xml:space="preserve">District</t>
  </si>
  <si>
    <t xml:space="preserve">Charge points</t>
  </si>
  <si>
    <t xml:space="preserve">Installed kW</t>
  </si>
  <si>
    <t xml:space="preserve">Avg kW per charge point</t>
  </si>
  <si>
    <t xml:space="preserve">Rank by kW</t>
  </si>
  <si>
    <t xml:space="preserve">Rank by charge points</t>
  </si>
  <si>
    <t xml:space="preserve">Rank change (points rank − kW rank)</t>
  </si>
  <si>
    <t xml:space="preserve">kW tier (1 = top 25%)</t>
  </si>
  <si>
    <t xml:space="preserve">Stadtkreis Stuttgart</t>
  </si>
  <si>
    <t xml:space="preserve">Landkreis Böblingen</t>
  </si>
  <si>
    <t xml:space="preserve">Landkreis Ortenaukreis</t>
  </si>
  <si>
    <t xml:space="preserve">Landkreis Rhein-Neckar-Kreis</t>
  </si>
  <si>
    <t xml:space="preserve">Landkreis Karlsruhe</t>
  </si>
  <si>
    <t xml:space="preserve">Landkreis Esslingen</t>
  </si>
  <si>
    <t xml:space="preserve">Landkreis Heilbronn</t>
  </si>
  <si>
    <t xml:space="preserve">Landkreis Ravensburg</t>
  </si>
  <si>
    <t xml:space="preserve">Landkreis Ludwigsburg</t>
  </si>
  <si>
    <t xml:space="preserve">Landkreis Rems-Murr-Kreis</t>
  </si>
  <si>
    <t xml:space="preserve">Landkreis Alb-Donau-Kreis</t>
  </si>
  <si>
    <t xml:space="preserve">Stadtkreis Mannheim</t>
  </si>
  <si>
    <t xml:space="preserve">Stadtkreis Karlsruhe</t>
  </si>
  <si>
    <t xml:space="preserve">Landkreis Konstanz</t>
  </si>
  <si>
    <t xml:space="preserve">Landkreis Breisgau-Hochschwarzwald</t>
  </si>
  <si>
    <t xml:space="preserve">Landkreis Hohenlohekreis</t>
  </si>
  <si>
    <t xml:space="preserve">Stadtkreis Freiburg im Breisgau</t>
  </si>
  <si>
    <t xml:space="preserve">Landkreis Göppingen</t>
  </si>
  <si>
    <t xml:space="preserve">Landkreis Ostalbkreis</t>
  </si>
  <si>
    <t xml:space="preserve">Landkreis Main-Tauber-Kreis</t>
  </si>
  <si>
    <t xml:space="preserve">Landkreis Lörrach</t>
  </si>
  <si>
    <t xml:space="preserve">Landkreis Schwäbisch Hall</t>
  </si>
  <si>
    <t xml:space="preserve">Landkreis Reutlingen</t>
  </si>
  <si>
    <t xml:space="preserve">Stadtkreis Ulm</t>
  </si>
  <si>
    <t xml:space="preserve">Landkreis Bodenseekreis</t>
  </si>
  <si>
    <t xml:space="preserve">Landkreis Tübingen</t>
  </si>
  <si>
    <t xml:space="preserve">Landkreis Rastatt</t>
  </si>
  <si>
    <t xml:space="preserve">Landkreis Rottweil</t>
  </si>
  <si>
    <t xml:space="preserve">Landkreis Schwarzwald-Baar-Kreis</t>
  </si>
  <si>
    <t xml:space="preserve">Stadtkreis Heilbronn</t>
  </si>
  <si>
    <t xml:space="preserve">Stadtkreis Pforzheim</t>
  </si>
  <si>
    <t xml:space="preserve">Landkreis Emmendingen</t>
  </si>
  <si>
    <t xml:space="preserve">Stadtkreis Heidelberg</t>
  </si>
  <si>
    <t xml:space="preserve">Landkreis Freudenstadt</t>
  </si>
  <si>
    <t xml:space="preserve">Landkreis Heidenheim</t>
  </si>
  <si>
    <t xml:space="preserve">Landkreis Waldshut</t>
  </si>
  <si>
    <t xml:space="preserve">Landkreis Enzkreis</t>
  </si>
  <si>
    <t xml:space="preserve">Landkreis Biberach</t>
  </si>
  <si>
    <t xml:space="preserve">Landkreis Tuttlingen</t>
  </si>
  <si>
    <t xml:space="preserve">Landkreis Neckar-Odenwald-Kreis</t>
  </si>
  <si>
    <t xml:space="preserve">Landkreis Calw</t>
  </si>
  <si>
    <t xml:space="preserve">Landkreis Zollernalbkreis</t>
  </si>
  <si>
    <t xml:space="preserve">Stadtkreis Baden-Baden</t>
  </si>
  <si>
    <t xml:space="preserve">Landkreis Sigmaringen</t>
  </si>
  <si>
    <t xml:space="preserve">Baden-Württemberg</t>
  </si>
  <si>
    <t xml:space="preserve">Tiers: 44 districts split into 4 groups of 11 (NTILE(4) in SQL). Green = tier 1, orange = tier 4. Positive rank change = better rank by kW than by count (fewer but more powerful chargers).</t>
  </si>
  <si>
    <t xml:space="preserve">Finding 5: Capacity per charge point varies three-fold across BW</t>
  </si>
  <si>
    <t xml:space="preserve">Answers</t>
  </si>
  <si>
    <t xml:space="preserve">1. #1 by kW</t>
  </si>
  <si>
    <t xml:space="preserve">Stuttgart: 89 MW total, but only 20.4 kW per charge point, the lowest of all 44 districts. Many small AC chargers, which is why its fast share was last in Q4.</t>
  </si>
  <si>
    <t xml:space="preserve">2. kW rank better than points rank</t>
  </si>
  <si>
    <t xml:space="preserve">Rhein-Neckar-Kreis (points 7 → kW 4, 53.4 kW/pt), Landkreis Karlsruhe (10 → 5, 42.6), Main-Tauber-Kreis (31 → 20, 54.9), Heidenheim (42 → 35, 61.6, highest in BW). Fewer but more powerful chargers, matching Q4.</t>
  </si>
  <si>
    <t xml:space="preserve">Opposite case: Calw, 33rd by points but 41st by kW (21.7 kW/pt). Many weak chargers; second-lowest fast share in Q4 (6.3%). Sigmaringen (points 43, kW 44) is not an example: its kW rank is slightly worse.</t>
  </si>
  <si>
    <t xml:space="preserve">3. Tier 4 (bottom 11)</t>
  </si>
  <si>
    <t xml:space="preserve">Freudenstadt, Heidenheim, Waldshut, Enzkreis, Biberach, Tuttlingen, Neckar-Odenwald-Kreis, Calw, Zollernalbkreis, Baden-Baden, Sigmaringen. Rhein-Neckar-Kreis is tier 1 (rank 4 by kW).</t>
  </si>
  <si>
    <t xml:space="preserve">Heidenheim</t>
  </si>
  <si>
    <t xml:space="preserve">Bottom tier for total power but highest power per point. Neither measure alone tells the full story.</t>
  </si>
  <si>
    <t xml:space="preserve">Model wording (rewrite in your own words)</t>
  </si>
  <si>
    <t xml:space="preserve">Finding 5</t>
  </si>
  <si>
    <t xml:space="preserve">BW has 1.21 GW of installed charging capacity (34.2 kW per charge point on average). Stuttgart leads in total power (89 MW) but has the lowest power per point of all 44 districts (20.4 kW), many small AC chargers. Heidenheim (61.6 kW/point) and Rhein-Neckar-Kreis (53.4 kW/point) have fewer but more powerful chargers. The bottom tier (11 districts) is mostly rural, including Sigmaringen and Baden-Baden. Limitation: installed capacity, not actual usage.</t>
  </si>
  <si>
    <t xml:space="preserve">Units</t>
  </si>
  <si>
    <t xml:space="preserve">1.21 GW = 1,210,822 kW (sum of all BW stations). 89 MW = Stuttgart's 89,245 kW.</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</si>
</sst>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b val="true"/>
      <sz val="11"/>
      <color rgb="FFFFFFFF"/>
      <name val="Arial"/>
      <family val="0"/>
      <charset val="1"/>
    </font>
    <font>
      <sz val="11"/>
      <name val="Arial"/>
      <family val="0"/>
      <charset val="1"/>
    </font>
    <font>
      <b val="true"/>
      <sz val="11"/>
      <name val="Arial"/>
      <family val="0"/>
      <charset val="1"/>
    </font>
    <font>
      <b val="true"/>
      <sz val="12"/>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E2EFDA"/>
        <bgColor rgb="FFF2F2F2"/>
      </patternFill>
    </fill>
    <fill>
      <patternFill patternType="solid">
        <fgColor rgb="FFF2F2F2"/>
        <bgColor rgb="FFE2EFDA"/>
      </patternFill>
    </fill>
    <fill>
      <patternFill patternType="solid">
        <fgColor rgb="FFFFFFFF"/>
        <bgColor rgb="FFF2F2F2"/>
      </patternFill>
    </fill>
    <fill>
      <patternFill patternType="solid">
        <fgColor rgb="FFFCE4D6"/>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3"/>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39.55" hidden="false" customHeight="fals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5" t="n">
        <v>4381</v>
      </c>
      <c r="C5" s="5" t="n">
        <v>89244.6</v>
      </c>
      <c r="D5" s="6" t="n">
        <f aca="false">C5/B5</f>
        <v>20.3708285779502</v>
      </c>
      <c r="E5" s="4" t="n">
        <f aca="false">RANK(C5,$C$5:$C$48,0)</f>
        <v>1</v>
      </c>
      <c r="F5" s="4" t="n">
        <f aca="false">RANK(B5,$B$5:$B$48,0)</f>
        <v>1</v>
      </c>
      <c r="G5" s="7" t="n">
        <f aca="false">F5-E5</f>
        <v>0</v>
      </c>
      <c r="H5" s="4" t="n">
        <v>1</v>
      </c>
    </row>
    <row r="6" customFormat="false" ht="15" hidden="false" customHeight="false" outlineLevel="0" collapsed="false">
      <c r="A6" s="4" t="s">
        <v>11</v>
      </c>
      <c r="B6" s="5" t="n">
        <v>2033</v>
      </c>
      <c r="C6" s="5" t="n">
        <v>68288.4</v>
      </c>
      <c r="D6" s="6" t="n">
        <f aca="false">C6/B6</f>
        <v>33.5899655681259</v>
      </c>
      <c r="E6" s="4" t="n">
        <f aca="false">RANK(C6,$C$5:$C$48,0)</f>
        <v>2</v>
      </c>
      <c r="F6" s="4" t="n">
        <f aca="false">RANK(B6,$B$5:$B$48,0)</f>
        <v>2</v>
      </c>
      <c r="G6" s="7" t="n">
        <f aca="false">F6-E6</f>
        <v>0</v>
      </c>
      <c r="H6" s="4" t="n">
        <v>1</v>
      </c>
    </row>
    <row r="7" customFormat="false" ht="15" hidden="false" customHeight="false" outlineLevel="0" collapsed="false">
      <c r="A7" s="4" t="s">
        <v>12</v>
      </c>
      <c r="B7" s="5" t="n">
        <v>1458</v>
      </c>
      <c r="C7" s="5" t="n">
        <v>64785.9</v>
      </c>
      <c r="D7" s="6" t="n">
        <f aca="false">C7/B7</f>
        <v>44.4347736625514</v>
      </c>
      <c r="E7" s="4" t="n">
        <f aca="false">RANK(C7,$C$5:$C$48,0)</f>
        <v>3</v>
      </c>
      <c r="F7" s="4" t="n">
        <f aca="false">RANK(B7,$B$5:$B$48,0)</f>
        <v>3</v>
      </c>
      <c r="G7" s="7" t="n">
        <f aca="false">F7-E7</f>
        <v>0</v>
      </c>
      <c r="H7" s="4" t="n">
        <v>1</v>
      </c>
    </row>
    <row r="8" customFormat="false" ht="15" hidden="false" customHeight="false" outlineLevel="0" collapsed="false">
      <c r="A8" s="4" t="s">
        <v>13</v>
      </c>
      <c r="B8" s="5" t="n">
        <v>1195</v>
      </c>
      <c r="C8" s="5" t="n">
        <v>63864.5</v>
      </c>
      <c r="D8" s="6" t="n">
        <f aca="false">C8/B8</f>
        <v>53.4430962343096</v>
      </c>
      <c r="E8" s="4" t="n">
        <f aca="false">RANK(C8,$C$5:$C$48,0)</f>
        <v>4</v>
      </c>
      <c r="F8" s="4" t="n">
        <f aca="false">RANK(B8,$B$5:$B$48,0)</f>
        <v>7</v>
      </c>
      <c r="G8" s="7" t="n">
        <f aca="false">F8-E8</f>
        <v>3</v>
      </c>
      <c r="H8" s="4" t="n">
        <v>1</v>
      </c>
    </row>
    <row r="9" customFormat="false" ht="15" hidden="false" customHeight="false" outlineLevel="0" collapsed="false">
      <c r="A9" s="4" t="s">
        <v>14</v>
      </c>
      <c r="B9" s="5" t="n">
        <v>1051</v>
      </c>
      <c r="C9" s="5" t="n">
        <v>44813.6</v>
      </c>
      <c r="D9" s="6" t="n">
        <f aca="false">C9/B9</f>
        <v>42.6390104662226</v>
      </c>
      <c r="E9" s="4" t="n">
        <f aca="false">RANK(C9,$C$5:$C$48,0)</f>
        <v>5</v>
      </c>
      <c r="F9" s="4" t="n">
        <f aca="false">RANK(B9,$B$5:$B$48,0)</f>
        <v>10</v>
      </c>
      <c r="G9" s="7" t="n">
        <f aca="false">F9-E9</f>
        <v>5</v>
      </c>
      <c r="H9" s="4" t="n">
        <v>1</v>
      </c>
    </row>
    <row r="10" customFormat="false" ht="15" hidden="false" customHeight="false" outlineLevel="0" collapsed="false">
      <c r="A10" s="4" t="s">
        <v>15</v>
      </c>
      <c r="B10" s="5" t="n">
        <v>1405</v>
      </c>
      <c r="C10" s="5" t="n">
        <v>44695.1</v>
      </c>
      <c r="D10" s="6" t="n">
        <f aca="false">C10/B10</f>
        <v>31.8114590747331</v>
      </c>
      <c r="E10" s="4" t="n">
        <f aca="false">RANK(C10,$C$5:$C$48,0)</f>
        <v>6</v>
      </c>
      <c r="F10" s="4" t="n">
        <f aca="false">RANK(B10,$B$5:$B$48,0)</f>
        <v>4</v>
      </c>
      <c r="G10" s="7" t="n">
        <f aca="false">F10-E10</f>
        <v>-2</v>
      </c>
      <c r="H10" s="4" t="n">
        <v>1</v>
      </c>
    </row>
    <row r="11" customFormat="false" ht="15" hidden="false" customHeight="false" outlineLevel="0" collapsed="false">
      <c r="A11" s="4" t="s">
        <v>16</v>
      </c>
      <c r="B11" s="5" t="n">
        <v>1258</v>
      </c>
      <c r="C11" s="5" t="n">
        <v>44666.9</v>
      </c>
      <c r="D11" s="6" t="n">
        <f aca="false">C11/B11</f>
        <v>35.506279809221</v>
      </c>
      <c r="E11" s="4" t="n">
        <f aca="false">RANK(C11,$C$5:$C$48,0)</f>
        <v>7</v>
      </c>
      <c r="F11" s="4" t="n">
        <f aca="false">RANK(B11,$B$5:$B$48,0)</f>
        <v>6</v>
      </c>
      <c r="G11" s="7" t="n">
        <f aca="false">F11-E11</f>
        <v>-1</v>
      </c>
      <c r="H11" s="4" t="n">
        <v>1</v>
      </c>
    </row>
    <row r="12" customFormat="false" ht="15" hidden="false" customHeight="false" outlineLevel="0" collapsed="false">
      <c r="A12" s="4" t="s">
        <v>17</v>
      </c>
      <c r="B12" s="5" t="n">
        <v>1082</v>
      </c>
      <c r="C12" s="5" t="n">
        <v>40097</v>
      </c>
      <c r="D12" s="6" t="n">
        <f aca="false">C12/B12</f>
        <v>37.0582255083179</v>
      </c>
      <c r="E12" s="4" t="n">
        <f aca="false">RANK(C12,$C$5:$C$48,0)</f>
        <v>8</v>
      </c>
      <c r="F12" s="4" t="n">
        <f aca="false">RANK(B12,$B$5:$B$48,0)</f>
        <v>9</v>
      </c>
      <c r="G12" s="7" t="n">
        <f aca="false">F12-E12</f>
        <v>1</v>
      </c>
      <c r="H12" s="4" t="n">
        <v>1</v>
      </c>
    </row>
    <row r="13" customFormat="false" ht="15" hidden="false" customHeight="false" outlineLevel="0" collapsed="false">
      <c r="A13" s="4" t="s">
        <v>18</v>
      </c>
      <c r="B13" s="5" t="n">
        <v>1401</v>
      </c>
      <c r="C13" s="5" t="n">
        <v>39740.4</v>
      </c>
      <c r="D13" s="6" t="n">
        <f aca="false">C13/B13</f>
        <v>28.36573875803</v>
      </c>
      <c r="E13" s="4" t="n">
        <f aca="false">RANK(C13,$C$5:$C$48,0)</f>
        <v>9</v>
      </c>
      <c r="F13" s="4" t="n">
        <f aca="false">RANK(B13,$B$5:$B$48,0)</f>
        <v>5</v>
      </c>
      <c r="G13" s="7" t="n">
        <f aca="false">F13-E13</f>
        <v>-4</v>
      </c>
      <c r="H13" s="4" t="n">
        <v>1</v>
      </c>
    </row>
    <row r="14" customFormat="false" ht="15" hidden="false" customHeight="false" outlineLevel="0" collapsed="false">
      <c r="A14" s="4" t="s">
        <v>19</v>
      </c>
      <c r="B14" s="5" t="n">
        <v>1091</v>
      </c>
      <c r="C14" s="5" t="n">
        <v>36876.2</v>
      </c>
      <c r="D14" s="6" t="n">
        <f aca="false">C14/B14</f>
        <v>33.8003666361137</v>
      </c>
      <c r="E14" s="4" t="n">
        <f aca="false">RANK(C14,$C$5:$C$48,0)</f>
        <v>10</v>
      </c>
      <c r="F14" s="4" t="n">
        <f aca="false">RANK(B14,$B$5:$B$48,0)</f>
        <v>8</v>
      </c>
      <c r="G14" s="7" t="n">
        <f aca="false">F14-E14</f>
        <v>-2</v>
      </c>
      <c r="H14" s="4" t="n">
        <v>1</v>
      </c>
    </row>
    <row r="15" customFormat="false" ht="15" hidden="false" customHeight="false" outlineLevel="0" collapsed="false">
      <c r="A15" s="4" t="s">
        <v>20</v>
      </c>
      <c r="B15" s="5" t="n">
        <v>849</v>
      </c>
      <c r="C15" s="5" t="n">
        <v>35771.7</v>
      </c>
      <c r="D15" s="6" t="n">
        <f aca="false">C15/B15</f>
        <v>42.1339222614841</v>
      </c>
      <c r="E15" s="4" t="n">
        <f aca="false">RANK(C15,$C$5:$C$48,0)</f>
        <v>11</v>
      </c>
      <c r="F15" s="4" t="n">
        <f aca="false">RANK(B15,$B$5:$B$48,0)</f>
        <v>13</v>
      </c>
      <c r="G15" s="7" t="n">
        <f aca="false">F15-E15</f>
        <v>2</v>
      </c>
      <c r="H15" s="4" t="n">
        <v>1</v>
      </c>
    </row>
    <row r="16" customFormat="false" ht="15" hidden="false" customHeight="false" outlineLevel="0" collapsed="false">
      <c r="A16" s="8" t="s">
        <v>21</v>
      </c>
      <c r="B16" s="9" t="n">
        <v>824</v>
      </c>
      <c r="C16" s="9" t="n">
        <v>34783.9</v>
      </c>
      <c r="D16" s="10" t="n">
        <f aca="false">C16/B16</f>
        <v>42.2134708737864</v>
      </c>
      <c r="E16" s="8" t="n">
        <f aca="false">RANK(C16,$C$5:$C$48,0)</f>
        <v>12</v>
      </c>
      <c r="F16" s="8" t="n">
        <f aca="false">RANK(B16,$B$5:$B$48,0)</f>
        <v>15</v>
      </c>
      <c r="G16" s="11" t="n">
        <f aca="false">F16-E16</f>
        <v>3</v>
      </c>
      <c r="H16" s="8" t="n">
        <v>2</v>
      </c>
    </row>
    <row r="17" customFormat="false" ht="15" hidden="false" customHeight="false" outlineLevel="0" collapsed="false">
      <c r="A17" s="8" t="s">
        <v>22</v>
      </c>
      <c r="B17" s="9" t="n">
        <v>662</v>
      </c>
      <c r="C17" s="9" t="n">
        <v>32398.6</v>
      </c>
      <c r="D17" s="10" t="n">
        <f aca="false">C17/B17</f>
        <v>48.9404833836858</v>
      </c>
      <c r="E17" s="8" t="n">
        <f aca="false">RANK(C17,$C$5:$C$48,0)</f>
        <v>13</v>
      </c>
      <c r="F17" s="8" t="n">
        <f aca="false">RANK(B17,$B$5:$B$48,0)</f>
        <v>23</v>
      </c>
      <c r="G17" s="11" t="n">
        <f aca="false">F17-E17</f>
        <v>10</v>
      </c>
      <c r="H17" s="8" t="n">
        <v>2</v>
      </c>
    </row>
    <row r="18" customFormat="false" ht="15" hidden="false" customHeight="false" outlineLevel="0" collapsed="false">
      <c r="A18" s="8" t="s">
        <v>23</v>
      </c>
      <c r="B18" s="9" t="n">
        <v>726</v>
      </c>
      <c r="C18" s="9" t="n">
        <v>31684.9</v>
      </c>
      <c r="D18" s="10" t="n">
        <f aca="false">C18/B18</f>
        <v>43.6431129476584</v>
      </c>
      <c r="E18" s="8" t="n">
        <f aca="false">RANK(C18,$C$5:$C$48,0)</f>
        <v>14</v>
      </c>
      <c r="F18" s="8" t="n">
        <f aca="false">RANK(B18,$B$5:$B$48,0)</f>
        <v>20</v>
      </c>
      <c r="G18" s="11" t="n">
        <f aca="false">F18-E18</f>
        <v>6</v>
      </c>
      <c r="H18" s="8" t="n">
        <v>2</v>
      </c>
    </row>
    <row r="19" customFormat="false" ht="15" hidden="false" customHeight="false" outlineLevel="0" collapsed="false">
      <c r="A19" s="8" t="s">
        <v>24</v>
      </c>
      <c r="B19" s="9" t="n">
        <v>796</v>
      </c>
      <c r="C19" s="9" t="n">
        <v>29793</v>
      </c>
      <c r="D19" s="10" t="n">
        <f aca="false">C19/B19</f>
        <v>37.428391959799</v>
      </c>
      <c r="E19" s="8" t="n">
        <f aca="false">RANK(C19,$C$5:$C$48,0)</f>
        <v>15</v>
      </c>
      <c r="F19" s="8" t="n">
        <f aca="false">RANK(B19,$B$5:$B$48,0)</f>
        <v>17</v>
      </c>
      <c r="G19" s="11" t="n">
        <f aca="false">F19-E19</f>
        <v>2</v>
      </c>
      <c r="H19" s="8" t="n">
        <v>2</v>
      </c>
    </row>
    <row r="20" customFormat="false" ht="15" hidden="false" customHeight="false" outlineLevel="0" collapsed="false">
      <c r="A20" s="8" t="s">
        <v>25</v>
      </c>
      <c r="B20" s="9" t="n">
        <v>582</v>
      </c>
      <c r="C20" s="9" t="n">
        <v>28591.1</v>
      </c>
      <c r="D20" s="10" t="n">
        <f aca="false">C20/B20</f>
        <v>49.1256013745704</v>
      </c>
      <c r="E20" s="8" t="n">
        <f aca="false">RANK(C20,$C$5:$C$48,0)</f>
        <v>16</v>
      </c>
      <c r="F20" s="8" t="n">
        <f aca="false">RANK(B20,$B$5:$B$48,0)</f>
        <v>28</v>
      </c>
      <c r="G20" s="11" t="n">
        <f aca="false">F20-E20</f>
        <v>12</v>
      </c>
      <c r="H20" s="8" t="n">
        <v>2</v>
      </c>
    </row>
    <row r="21" customFormat="false" ht="15" hidden="false" customHeight="false" outlineLevel="0" collapsed="false">
      <c r="A21" s="8" t="s">
        <v>26</v>
      </c>
      <c r="B21" s="9" t="n">
        <v>858</v>
      </c>
      <c r="C21" s="9" t="n">
        <v>28003</v>
      </c>
      <c r="D21" s="10" t="n">
        <f aca="false">C21/B21</f>
        <v>32.6375291375291</v>
      </c>
      <c r="E21" s="8" t="n">
        <f aca="false">RANK(C21,$C$5:$C$48,0)</f>
        <v>17</v>
      </c>
      <c r="F21" s="8" t="n">
        <f aca="false">RANK(B21,$B$5:$B$48,0)</f>
        <v>11</v>
      </c>
      <c r="G21" s="11" t="n">
        <f aca="false">F21-E21</f>
        <v>-6</v>
      </c>
      <c r="H21" s="8" t="n">
        <v>2</v>
      </c>
    </row>
    <row r="22" customFormat="false" ht="15" hidden="false" customHeight="false" outlineLevel="0" collapsed="false">
      <c r="A22" s="8" t="s">
        <v>27</v>
      </c>
      <c r="B22" s="9" t="n">
        <v>815</v>
      </c>
      <c r="C22" s="9" t="n">
        <v>27576.4</v>
      </c>
      <c r="D22" s="10" t="n">
        <f aca="false">C22/B22</f>
        <v>33.8360736196319</v>
      </c>
      <c r="E22" s="8" t="n">
        <f aca="false">RANK(C22,$C$5:$C$48,0)</f>
        <v>18</v>
      </c>
      <c r="F22" s="8" t="n">
        <f aca="false">RANK(B22,$B$5:$B$48,0)</f>
        <v>16</v>
      </c>
      <c r="G22" s="11" t="n">
        <f aca="false">F22-E22</f>
        <v>-2</v>
      </c>
      <c r="H22" s="8" t="n">
        <v>2</v>
      </c>
    </row>
    <row r="23" customFormat="false" ht="15" hidden="false" customHeight="false" outlineLevel="0" collapsed="false">
      <c r="A23" s="8" t="s">
        <v>28</v>
      </c>
      <c r="B23" s="9" t="n">
        <v>855</v>
      </c>
      <c r="C23" s="9" t="n">
        <v>27457.7</v>
      </c>
      <c r="D23" s="10" t="n">
        <f aca="false">C23/B23</f>
        <v>32.114269005848</v>
      </c>
      <c r="E23" s="8" t="n">
        <f aca="false">RANK(C23,$C$5:$C$48,0)</f>
        <v>19</v>
      </c>
      <c r="F23" s="8" t="n">
        <f aca="false">RANK(B23,$B$5:$B$48,0)</f>
        <v>12</v>
      </c>
      <c r="G23" s="11" t="n">
        <f aca="false">F23-E23</f>
        <v>-7</v>
      </c>
      <c r="H23" s="8" t="n">
        <v>2</v>
      </c>
    </row>
    <row r="24" customFormat="false" ht="15" hidden="false" customHeight="false" outlineLevel="0" collapsed="false">
      <c r="A24" s="8" t="s">
        <v>29</v>
      </c>
      <c r="B24" s="9" t="n">
        <v>491</v>
      </c>
      <c r="C24" s="9" t="n">
        <v>26961</v>
      </c>
      <c r="D24" s="10" t="n">
        <f aca="false">C24/B24</f>
        <v>54.9103869653768</v>
      </c>
      <c r="E24" s="8" t="n">
        <f aca="false">RANK(C24,$C$5:$C$48,0)</f>
        <v>20</v>
      </c>
      <c r="F24" s="8" t="n">
        <f aca="false">RANK(B24,$B$5:$B$48,0)</f>
        <v>31</v>
      </c>
      <c r="G24" s="11" t="n">
        <f aca="false">F24-E24</f>
        <v>11</v>
      </c>
      <c r="H24" s="8" t="n">
        <v>2</v>
      </c>
    </row>
    <row r="25" customFormat="false" ht="15" hidden="false" customHeight="false" outlineLevel="0" collapsed="false">
      <c r="A25" s="8" t="s">
        <v>30</v>
      </c>
      <c r="B25" s="9" t="n">
        <v>499</v>
      </c>
      <c r="C25" s="9" t="n">
        <v>22435</v>
      </c>
      <c r="D25" s="10" t="n">
        <f aca="false">C25/B25</f>
        <v>44.9599198396794</v>
      </c>
      <c r="E25" s="8" t="n">
        <f aca="false">RANK(C25,$C$5:$C$48,0)</f>
        <v>21</v>
      </c>
      <c r="F25" s="8" t="n">
        <f aca="false">RANK(B25,$B$5:$B$48,0)</f>
        <v>30</v>
      </c>
      <c r="G25" s="11" t="n">
        <f aca="false">F25-E25</f>
        <v>9</v>
      </c>
      <c r="H25" s="8" t="n">
        <v>2</v>
      </c>
    </row>
    <row r="26" customFormat="false" ht="15" hidden="false" customHeight="false" outlineLevel="0" collapsed="false">
      <c r="A26" s="8" t="s">
        <v>31</v>
      </c>
      <c r="B26" s="9" t="n">
        <v>588</v>
      </c>
      <c r="C26" s="9" t="n">
        <v>21454.9</v>
      </c>
      <c r="D26" s="10" t="n">
        <f aca="false">C26/B26</f>
        <v>36.487925170068</v>
      </c>
      <c r="E26" s="8" t="n">
        <f aca="false">RANK(C26,$C$5:$C$48,0)</f>
        <v>22</v>
      </c>
      <c r="F26" s="8" t="n">
        <f aca="false">RANK(B26,$B$5:$B$48,0)</f>
        <v>27</v>
      </c>
      <c r="G26" s="11" t="n">
        <f aca="false">F26-E26</f>
        <v>5</v>
      </c>
      <c r="H26" s="8" t="n">
        <v>2</v>
      </c>
    </row>
    <row r="27" customFormat="false" ht="15" hidden="false" customHeight="false" outlineLevel="0" collapsed="false">
      <c r="A27" s="12" t="s">
        <v>32</v>
      </c>
      <c r="B27" s="13" t="n">
        <v>739</v>
      </c>
      <c r="C27" s="13" t="n">
        <v>20943.6</v>
      </c>
      <c r="D27" s="14" t="n">
        <f aca="false">C27/B27</f>
        <v>28.3404600811908</v>
      </c>
      <c r="E27" s="12" t="n">
        <f aca="false">RANK(C27,$C$5:$C$48,0)</f>
        <v>23</v>
      </c>
      <c r="F27" s="12" t="n">
        <f aca="false">RANK(B27,$B$5:$B$48,0)</f>
        <v>19</v>
      </c>
      <c r="G27" s="15" t="n">
        <f aca="false">F27-E27</f>
        <v>-4</v>
      </c>
      <c r="H27" s="12" t="n">
        <v>3</v>
      </c>
    </row>
    <row r="28" customFormat="false" ht="15" hidden="false" customHeight="false" outlineLevel="0" collapsed="false">
      <c r="A28" s="12" t="s">
        <v>33</v>
      </c>
      <c r="B28" s="13" t="n">
        <v>636</v>
      </c>
      <c r="C28" s="13" t="n">
        <v>20627</v>
      </c>
      <c r="D28" s="14" t="n">
        <f aca="false">C28/B28</f>
        <v>32.4323899371069</v>
      </c>
      <c r="E28" s="12" t="n">
        <f aca="false">RANK(C28,$C$5:$C$48,0)</f>
        <v>24</v>
      </c>
      <c r="F28" s="12" t="n">
        <f aca="false">RANK(B28,$B$5:$B$48,0)</f>
        <v>26</v>
      </c>
      <c r="G28" s="15" t="n">
        <f aca="false">F28-E28</f>
        <v>2</v>
      </c>
      <c r="H28" s="12" t="n">
        <v>3</v>
      </c>
    </row>
    <row r="29" customFormat="false" ht="15" hidden="false" customHeight="false" outlineLevel="0" collapsed="false">
      <c r="A29" s="12" t="s">
        <v>34</v>
      </c>
      <c r="B29" s="13" t="n">
        <v>644</v>
      </c>
      <c r="C29" s="13" t="n">
        <v>20233.5</v>
      </c>
      <c r="D29" s="14" t="n">
        <f aca="false">C29/B29</f>
        <v>31.4184782608696</v>
      </c>
      <c r="E29" s="12" t="n">
        <f aca="false">RANK(C29,$C$5:$C$48,0)</f>
        <v>25</v>
      </c>
      <c r="F29" s="12" t="n">
        <f aca="false">RANK(B29,$B$5:$B$48,0)</f>
        <v>25</v>
      </c>
      <c r="G29" s="15" t="n">
        <f aca="false">F29-E29</f>
        <v>0</v>
      </c>
      <c r="H29" s="12" t="n">
        <v>3</v>
      </c>
    </row>
    <row r="30" customFormat="false" ht="15" hidden="false" customHeight="false" outlineLevel="0" collapsed="false">
      <c r="A30" s="12" t="s">
        <v>35</v>
      </c>
      <c r="B30" s="13" t="n">
        <v>681</v>
      </c>
      <c r="C30" s="13" t="n">
        <v>20190</v>
      </c>
      <c r="D30" s="14" t="n">
        <f aca="false">C30/B30</f>
        <v>29.647577092511</v>
      </c>
      <c r="E30" s="12" t="n">
        <f aca="false">RANK(C30,$C$5:$C$48,0)</f>
        <v>26</v>
      </c>
      <c r="F30" s="12" t="n">
        <f aca="false">RANK(B30,$B$5:$B$48,0)</f>
        <v>22</v>
      </c>
      <c r="G30" s="15" t="n">
        <f aca="false">F30-E30</f>
        <v>-4</v>
      </c>
      <c r="H30" s="12" t="n">
        <v>3</v>
      </c>
    </row>
    <row r="31" customFormat="false" ht="15" hidden="false" customHeight="false" outlineLevel="0" collapsed="false">
      <c r="A31" s="12" t="s">
        <v>36</v>
      </c>
      <c r="B31" s="13" t="n">
        <v>645</v>
      </c>
      <c r="C31" s="13" t="n">
        <v>20133.9</v>
      </c>
      <c r="D31" s="14" t="n">
        <f aca="false">C31/B31</f>
        <v>31.2153488372093</v>
      </c>
      <c r="E31" s="12" t="n">
        <f aca="false">RANK(C31,$C$5:$C$48,0)</f>
        <v>27</v>
      </c>
      <c r="F31" s="12" t="n">
        <f aca="false">RANK(B31,$B$5:$B$48,0)</f>
        <v>24</v>
      </c>
      <c r="G31" s="15" t="n">
        <f aca="false">F31-E31</f>
        <v>-3</v>
      </c>
      <c r="H31" s="12" t="n">
        <v>3</v>
      </c>
    </row>
    <row r="32" customFormat="false" ht="15" hidden="false" customHeight="false" outlineLevel="0" collapsed="false">
      <c r="A32" s="12" t="s">
        <v>37</v>
      </c>
      <c r="B32" s="13" t="n">
        <v>350</v>
      </c>
      <c r="C32" s="13" t="n">
        <v>18580</v>
      </c>
      <c r="D32" s="14" t="n">
        <f aca="false">C32/B32</f>
        <v>53.0857142857143</v>
      </c>
      <c r="E32" s="12" t="n">
        <f aca="false">RANK(C32,$C$5:$C$48,0)</f>
        <v>28</v>
      </c>
      <c r="F32" s="12" t="n">
        <f aca="false">RANK(B32,$B$5:$B$48,0)</f>
        <v>37</v>
      </c>
      <c r="G32" s="15" t="n">
        <f aca="false">F32-E32</f>
        <v>9</v>
      </c>
      <c r="H32" s="12" t="n">
        <v>3</v>
      </c>
    </row>
    <row r="33" customFormat="false" ht="15" hidden="false" customHeight="false" outlineLevel="0" collapsed="false">
      <c r="A33" s="12" t="s">
        <v>38</v>
      </c>
      <c r="B33" s="13" t="n">
        <v>546</v>
      </c>
      <c r="C33" s="13" t="n">
        <v>17936.8</v>
      </c>
      <c r="D33" s="14" t="n">
        <f aca="false">C33/B33</f>
        <v>32.8512820512821</v>
      </c>
      <c r="E33" s="12" t="n">
        <f aca="false">RANK(C33,$C$5:$C$48,0)</f>
        <v>29</v>
      </c>
      <c r="F33" s="12" t="n">
        <f aca="false">RANK(B33,$B$5:$B$48,0)</f>
        <v>29</v>
      </c>
      <c r="G33" s="15" t="n">
        <f aca="false">F33-E33</f>
        <v>0</v>
      </c>
      <c r="H33" s="12" t="n">
        <v>3</v>
      </c>
    </row>
    <row r="34" customFormat="false" ht="15" hidden="false" customHeight="false" outlineLevel="0" collapsed="false">
      <c r="A34" s="12" t="s">
        <v>39</v>
      </c>
      <c r="B34" s="13" t="n">
        <v>834</v>
      </c>
      <c r="C34" s="13" t="n">
        <v>17478</v>
      </c>
      <c r="D34" s="14" t="n">
        <f aca="false">C34/B34</f>
        <v>20.9568345323741</v>
      </c>
      <c r="E34" s="12" t="n">
        <f aca="false">RANK(C34,$C$5:$C$48,0)</f>
        <v>30</v>
      </c>
      <c r="F34" s="12" t="n">
        <f aca="false">RANK(B34,$B$5:$B$48,0)</f>
        <v>14</v>
      </c>
      <c r="G34" s="15" t="n">
        <f aca="false">F34-E34</f>
        <v>-16</v>
      </c>
      <c r="H34" s="12" t="n">
        <v>3</v>
      </c>
    </row>
    <row r="35" customFormat="false" ht="15" hidden="false" customHeight="false" outlineLevel="0" collapsed="false">
      <c r="A35" s="12" t="s">
        <v>40</v>
      </c>
      <c r="B35" s="13" t="n">
        <v>349</v>
      </c>
      <c r="C35" s="13" t="n">
        <v>17068.5</v>
      </c>
      <c r="D35" s="14" t="n">
        <f aca="false">C35/B35</f>
        <v>48.9068767908309</v>
      </c>
      <c r="E35" s="12" t="n">
        <f aca="false">RANK(C35,$C$5:$C$48,0)</f>
        <v>31</v>
      </c>
      <c r="F35" s="12" t="n">
        <f aca="false">RANK(B35,$B$5:$B$48,0)</f>
        <v>38</v>
      </c>
      <c r="G35" s="15" t="n">
        <f aca="false">F35-E35</f>
        <v>7</v>
      </c>
      <c r="H35" s="12" t="n">
        <v>3</v>
      </c>
    </row>
    <row r="36" customFormat="false" ht="15" hidden="false" customHeight="false" outlineLevel="0" collapsed="false">
      <c r="A36" s="12" t="s">
        <v>41</v>
      </c>
      <c r="B36" s="13" t="n">
        <v>684</v>
      </c>
      <c r="C36" s="13" t="n">
        <v>16371</v>
      </c>
      <c r="D36" s="14" t="n">
        <f aca="false">C36/B36</f>
        <v>23.9342105263158</v>
      </c>
      <c r="E36" s="12" t="n">
        <f aca="false">RANK(C36,$C$5:$C$48,0)</f>
        <v>32</v>
      </c>
      <c r="F36" s="12" t="n">
        <f aca="false">RANK(B36,$B$5:$B$48,0)</f>
        <v>21</v>
      </c>
      <c r="G36" s="15" t="n">
        <f aca="false">F36-E36</f>
        <v>-11</v>
      </c>
      <c r="H36" s="12" t="n">
        <v>3</v>
      </c>
    </row>
    <row r="37" customFormat="false" ht="15" hidden="false" customHeight="false" outlineLevel="0" collapsed="false">
      <c r="A37" s="12" t="s">
        <v>42</v>
      </c>
      <c r="B37" s="13" t="n">
        <v>784</v>
      </c>
      <c r="C37" s="13" t="n">
        <v>16359</v>
      </c>
      <c r="D37" s="14" t="n">
        <f aca="false">C37/B37</f>
        <v>20.8660714285714</v>
      </c>
      <c r="E37" s="12" t="n">
        <f aca="false">RANK(C37,$C$5:$C$48,0)</f>
        <v>33</v>
      </c>
      <c r="F37" s="12" t="n">
        <f aca="false">RANK(B37,$B$5:$B$48,0)</f>
        <v>18</v>
      </c>
      <c r="G37" s="15" t="n">
        <f aca="false">F37-E37</f>
        <v>-15</v>
      </c>
      <c r="H37" s="12" t="n">
        <v>3</v>
      </c>
    </row>
    <row r="38" customFormat="false" ht="15" hidden="false" customHeight="false" outlineLevel="0" collapsed="false">
      <c r="A38" s="16" t="s">
        <v>43</v>
      </c>
      <c r="B38" s="17" t="n">
        <v>383</v>
      </c>
      <c r="C38" s="17" t="n">
        <v>14562</v>
      </c>
      <c r="D38" s="18" t="n">
        <f aca="false">C38/B38</f>
        <v>38.0208877284595</v>
      </c>
      <c r="E38" s="16" t="n">
        <f aca="false">RANK(C38,$C$5:$C$48,0)</f>
        <v>34</v>
      </c>
      <c r="F38" s="16" t="n">
        <f aca="false">RANK(B38,$B$5:$B$48,0)</f>
        <v>35</v>
      </c>
      <c r="G38" s="19" t="n">
        <f aca="false">F38-E38</f>
        <v>1</v>
      </c>
      <c r="H38" s="16" t="n">
        <v>4</v>
      </c>
    </row>
    <row r="39" customFormat="false" ht="15" hidden="false" customHeight="false" outlineLevel="0" collapsed="false">
      <c r="A39" s="16" t="s">
        <v>44</v>
      </c>
      <c r="B39" s="17" t="n">
        <v>233</v>
      </c>
      <c r="C39" s="17" t="n">
        <v>14342</v>
      </c>
      <c r="D39" s="18" t="n">
        <f aca="false">C39/B39</f>
        <v>61.5536480686695</v>
      </c>
      <c r="E39" s="16" t="n">
        <f aca="false">RANK(C39,$C$5:$C$48,0)</f>
        <v>35</v>
      </c>
      <c r="F39" s="16" t="n">
        <f aca="false">RANK(B39,$B$5:$B$48,0)</f>
        <v>42</v>
      </c>
      <c r="G39" s="19" t="n">
        <f aca="false">F39-E39</f>
        <v>7</v>
      </c>
      <c r="H39" s="16" t="n">
        <v>4</v>
      </c>
    </row>
    <row r="40" customFormat="false" ht="15" hidden="false" customHeight="false" outlineLevel="0" collapsed="false">
      <c r="A40" s="16" t="s">
        <v>45</v>
      </c>
      <c r="B40" s="17" t="n">
        <v>471</v>
      </c>
      <c r="C40" s="17" t="n">
        <v>13266.4</v>
      </c>
      <c r="D40" s="18" t="n">
        <f aca="false">C40/B40</f>
        <v>28.1664543524416</v>
      </c>
      <c r="E40" s="16" t="n">
        <f aca="false">RANK(C40,$C$5:$C$48,0)</f>
        <v>36</v>
      </c>
      <c r="F40" s="16" t="n">
        <f aca="false">RANK(B40,$B$5:$B$48,0)</f>
        <v>32</v>
      </c>
      <c r="G40" s="19" t="n">
        <f aca="false">F40-E40</f>
        <v>-4</v>
      </c>
      <c r="H40" s="16" t="n">
        <v>4</v>
      </c>
    </row>
    <row r="41" customFormat="false" ht="15" hidden="false" customHeight="false" outlineLevel="0" collapsed="false">
      <c r="A41" s="16" t="s">
        <v>46</v>
      </c>
      <c r="B41" s="17" t="n">
        <v>396</v>
      </c>
      <c r="C41" s="17" t="n">
        <v>13261.7</v>
      </c>
      <c r="D41" s="18" t="n">
        <f aca="false">C41/B41</f>
        <v>33.4891414141414</v>
      </c>
      <c r="E41" s="16" t="n">
        <f aca="false">RANK(C41,$C$5:$C$48,0)</f>
        <v>37</v>
      </c>
      <c r="F41" s="16" t="n">
        <f aca="false">RANK(B41,$B$5:$B$48,0)</f>
        <v>34</v>
      </c>
      <c r="G41" s="19" t="n">
        <f aca="false">F41-E41</f>
        <v>-3</v>
      </c>
      <c r="H41" s="16" t="n">
        <v>4</v>
      </c>
    </row>
    <row r="42" customFormat="false" ht="15" hidden="false" customHeight="false" outlineLevel="0" collapsed="false">
      <c r="A42" s="16" t="s">
        <v>47</v>
      </c>
      <c r="B42" s="17" t="n">
        <v>316</v>
      </c>
      <c r="C42" s="17" t="n">
        <v>12325</v>
      </c>
      <c r="D42" s="18" t="n">
        <f aca="false">C42/B42</f>
        <v>39.003164556962</v>
      </c>
      <c r="E42" s="16" t="n">
        <f aca="false">RANK(C42,$C$5:$C$48,0)</f>
        <v>38</v>
      </c>
      <c r="F42" s="16" t="n">
        <f aca="false">RANK(B42,$B$5:$B$48,0)</f>
        <v>40</v>
      </c>
      <c r="G42" s="19" t="n">
        <f aca="false">F42-E42</f>
        <v>2</v>
      </c>
      <c r="H42" s="16" t="n">
        <v>4</v>
      </c>
    </row>
    <row r="43" customFormat="false" ht="15" hidden="false" customHeight="false" outlineLevel="0" collapsed="false">
      <c r="A43" s="16" t="s">
        <v>48</v>
      </c>
      <c r="B43" s="17" t="n">
        <v>377</v>
      </c>
      <c r="C43" s="17" t="n">
        <v>10699</v>
      </c>
      <c r="D43" s="18" t="n">
        <f aca="false">C43/B43</f>
        <v>28.3793103448276</v>
      </c>
      <c r="E43" s="16" t="n">
        <f aca="false">RANK(C43,$C$5:$C$48,0)</f>
        <v>39</v>
      </c>
      <c r="F43" s="16" t="n">
        <f aca="false">RANK(B43,$B$5:$B$48,0)</f>
        <v>36</v>
      </c>
      <c r="G43" s="19" t="n">
        <f aca="false">F43-E43</f>
        <v>-3</v>
      </c>
      <c r="H43" s="16" t="n">
        <v>4</v>
      </c>
    </row>
    <row r="44" customFormat="false" ht="15" hidden="false" customHeight="false" outlineLevel="0" collapsed="false">
      <c r="A44" s="16" t="s">
        <v>49</v>
      </c>
      <c r="B44" s="17" t="n">
        <v>330</v>
      </c>
      <c r="C44" s="17" t="n">
        <v>10125.8</v>
      </c>
      <c r="D44" s="18" t="n">
        <f aca="false">C44/B44</f>
        <v>30.6842424242424</v>
      </c>
      <c r="E44" s="16" t="n">
        <f aca="false">RANK(C44,$C$5:$C$48,0)</f>
        <v>40</v>
      </c>
      <c r="F44" s="16" t="n">
        <f aca="false">RANK(B44,$B$5:$B$48,0)</f>
        <v>39</v>
      </c>
      <c r="G44" s="19" t="n">
        <f aca="false">F44-E44</f>
        <v>-1</v>
      </c>
      <c r="H44" s="16" t="n">
        <v>4</v>
      </c>
    </row>
    <row r="45" customFormat="false" ht="15" hidden="false" customHeight="false" outlineLevel="0" collapsed="false">
      <c r="A45" s="16" t="s">
        <v>50</v>
      </c>
      <c r="B45" s="17" t="n">
        <v>441</v>
      </c>
      <c r="C45" s="17" t="n">
        <v>9553.7</v>
      </c>
      <c r="D45" s="18" t="n">
        <f aca="false">C45/B45</f>
        <v>21.6637188208617</v>
      </c>
      <c r="E45" s="16" t="n">
        <f aca="false">RANK(C45,$C$5:$C$48,0)</f>
        <v>41</v>
      </c>
      <c r="F45" s="16" t="n">
        <f aca="false">RANK(B45,$B$5:$B$48,0)</f>
        <v>33</v>
      </c>
      <c r="G45" s="19" t="n">
        <f aca="false">F45-E45</f>
        <v>-8</v>
      </c>
      <c r="H45" s="16" t="n">
        <v>4</v>
      </c>
    </row>
    <row r="46" customFormat="false" ht="15" hidden="false" customHeight="false" outlineLevel="0" collapsed="false">
      <c r="A46" s="16" t="s">
        <v>51</v>
      </c>
      <c r="B46" s="17" t="n">
        <v>293</v>
      </c>
      <c r="C46" s="17" t="n">
        <v>8695</v>
      </c>
      <c r="D46" s="18" t="n">
        <f aca="false">C46/B46</f>
        <v>29.6757679180887</v>
      </c>
      <c r="E46" s="16" t="n">
        <f aca="false">RANK(C46,$C$5:$C$48,0)</f>
        <v>42</v>
      </c>
      <c r="F46" s="16" t="n">
        <f aca="false">RANK(B46,$B$5:$B$48,0)</f>
        <v>41</v>
      </c>
      <c r="G46" s="19" t="n">
        <f aca="false">F46-E46</f>
        <v>-1</v>
      </c>
      <c r="H46" s="16" t="n">
        <v>4</v>
      </c>
    </row>
    <row r="47" customFormat="false" ht="15" hidden="false" customHeight="false" outlineLevel="0" collapsed="false">
      <c r="A47" s="16" t="s">
        <v>52</v>
      </c>
      <c r="B47" s="17" t="n">
        <v>180</v>
      </c>
      <c r="C47" s="17" t="n">
        <v>7565</v>
      </c>
      <c r="D47" s="18" t="n">
        <f aca="false">C47/B47</f>
        <v>42.0277777777778</v>
      </c>
      <c r="E47" s="16" t="n">
        <f aca="false">RANK(C47,$C$5:$C$48,0)</f>
        <v>43</v>
      </c>
      <c r="F47" s="16" t="n">
        <f aca="false">RANK(B47,$B$5:$B$48,0)</f>
        <v>44</v>
      </c>
      <c r="G47" s="19" t="n">
        <f aca="false">F47-E47</f>
        <v>1</v>
      </c>
      <c r="H47" s="16" t="n">
        <v>4</v>
      </c>
    </row>
    <row r="48" customFormat="false" ht="15" hidden="false" customHeight="false" outlineLevel="0" collapsed="false">
      <c r="A48" s="16" t="s">
        <v>53</v>
      </c>
      <c r="B48" s="17" t="n">
        <v>225</v>
      </c>
      <c r="C48" s="17" t="n">
        <v>6521</v>
      </c>
      <c r="D48" s="18" t="n">
        <f aca="false">C48/B48</f>
        <v>28.9822222222222</v>
      </c>
      <c r="E48" s="16" t="n">
        <f aca="false">RANK(C48,$C$5:$C$48,0)</f>
        <v>44</v>
      </c>
      <c r="F48" s="16" t="n">
        <f aca="false">RANK(B48,$B$5:$B$48,0)</f>
        <v>43</v>
      </c>
      <c r="G48" s="19" t="n">
        <f aca="false">F48-E48</f>
        <v>-1</v>
      </c>
      <c r="H48" s="16" t="n">
        <v>4</v>
      </c>
    </row>
    <row r="49" customFormat="false" ht="15" hidden="false" customHeight="false" outlineLevel="0" collapsed="false">
      <c r="A49" s="20" t="s">
        <v>54</v>
      </c>
      <c r="B49" s="21" t="n">
        <f aca="false">SUM(B5:B48)</f>
        <v>35437</v>
      </c>
      <c r="C49" s="21" t="n">
        <f aca="false">SUM(C5:C48)</f>
        <v>1210821.7</v>
      </c>
      <c r="D49" s="22" t="n">
        <f aca="false">C49/B49</f>
        <v>34.1682902051528</v>
      </c>
    </row>
    <row r="51" customFormat="false" ht="15" hidden="false" customHeight="false" outlineLevel="0" collapsed="false">
      <c r="A51" s="2"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17.35" hidden="false" customHeight="false" outlineLevel="0" collapsed="false">
      <c r="A1" s="1" t="s">
        <v>56</v>
      </c>
    </row>
    <row r="3" customFormat="false" ht="15" hidden="false" customHeight="false" outlineLevel="0" collapsed="false">
      <c r="A3" s="23" t="s">
        <v>57</v>
      </c>
    </row>
    <row r="4" customFormat="false" ht="26.85" hidden="false" customHeight="false" outlineLevel="0" collapsed="false">
      <c r="A4" s="24" t="s">
        <v>58</v>
      </c>
      <c r="B4" s="25" t="s">
        <v>59</v>
      </c>
    </row>
    <row r="5" customFormat="false" ht="39.55" hidden="false" customHeight="false" outlineLevel="0" collapsed="false">
      <c r="A5" s="24" t="s">
        <v>60</v>
      </c>
      <c r="B5" s="25" t="s">
        <v>61</v>
      </c>
    </row>
    <row r="6" customFormat="false" ht="39.55" hidden="false" customHeight="false" outlineLevel="0" collapsed="false">
      <c r="A6" s="24"/>
      <c r="B6" s="25" t="s">
        <v>62</v>
      </c>
    </row>
    <row r="7" customFormat="false" ht="26.85" hidden="false" customHeight="false" outlineLevel="0" collapsed="false">
      <c r="A7" s="24" t="s">
        <v>63</v>
      </c>
      <c r="B7" s="25" t="s">
        <v>64</v>
      </c>
    </row>
    <row r="8" customFormat="false" ht="15" hidden="false" customHeight="false" outlineLevel="0" collapsed="false">
      <c r="A8" s="24" t="s">
        <v>65</v>
      </c>
      <c r="B8" s="25" t="s">
        <v>66</v>
      </c>
    </row>
    <row r="10" customFormat="false" ht="26.85" hidden="false" customHeight="false" outlineLevel="0" collapsed="false">
      <c r="A10" s="23" t="s">
        <v>67</v>
      </c>
    </row>
    <row r="11" customFormat="false" ht="64.9" hidden="false" customHeight="false" outlineLevel="0" collapsed="false">
      <c r="A11" s="24" t="s">
        <v>68</v>
      </c>
      <c r="B11" s="25" t="s">
        <v>69</v>
      </c>
    </row>
    <row r="12" customFormat="false" ht="15" hidden="false" customHeight="false" outlineLevel="0" collapsed="false">
      <c r="A12" s="24" t="s">
        <v>70</v>
      </c>
      <c r="B12" s="25"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2026-10-26T10:45:24Z</dcterms:created>
  <dc:creator>openpyxl</dc:creator>
  <dc:description/>
  <dc:language>en-US</dc:language>
  <cp:lastModifiedBy/>
  <dcterms:modified xsi:type="dcterms:W3CDTF">2026-10-26T10:45:24Z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