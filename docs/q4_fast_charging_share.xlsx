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4 Districts" sheetId="1" state="visible" r:id="rId3"/>
    <sheet name="Finding 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<sst xmlns="http://schemas.openxmlformats.org/spreadsheetml/2006/main" count="121" uniqueCount="78">
  <si>
    <t xml:space="preserve">Q4: What share of each BW district's charge points is fast charging?</t>
  </si>
  <si>
    <t xml:space="preserve">Source: BNetzA Ladesäulenregister, data as of 30.09.2026 (clean.charging_stations, 08_analysis.sql). Fast = station_type 'Schnellladeeinrichtung'.</t>
  </si>
  <si>
    <t xml:space="preserve">District</t>
  </si>
  <si>
    <t xml:space="preserve">District type</t>
  </si>
  <si>
    <t xml:space="preserve">Charge points</t>
  </si>
  <si>
    <t xml:space="preserve">Fast charge points</t>
  </si>
  <si>
    <t xml:space="preserve">Fast share</t>
  </si>
  <si>
    <t xml:space="preserve">BW average</t>
  </si>
  <si>
    <t xml:space="preserve">Difference vs BW (percentage points)</t>
  </si>
  <si>
    <t xml:space="preserve">Landkreis Rhein-Neckar-Kreis</t>
  </si>
  <si>
    <t xml:space="preserve">Rural district</t>
  </si>
  <si>
    <t xml:space="preserve">Landkreis Heidenheim</t>
  </si>
  <si>
    <t xml:space="preserve">Stadtkreis Karlsruhe</t>
  </si>
  <si>
    <t xml:space="preserve">City</t>
  </si>
  <si>
    <t xml:space="preserve">Landkreis Main-Tauber-Kreis</t>
  </si>
  <si>
    <t xml:space="preserve">Landkreis Rottweil</t>
  </si>
  <si>
    <t xml:space="preserve">Stadtkreis Mannheim</t>
  </si>
  <si>
    <t xml:space="preserve">Landkreis Freudenstadt</t>
  </si>
  <si>
    <t xml:space="preserve">Landkreis Ortenaukreis</t>
  </si>
  <si>
    <t xml:space="preserve">Landkreis Karlsruhe</t>
  </si>
  <si>
    <t xml:space="preserve">Landkreis Lörrach</t>
  </si>
  <si>
    <t xml:space="preserve">Stadtkreis Pforzheim</t>
  </si>
  <si>
    <t xml:space="preserve">Landkreis Zollernalbkreis</t>
  </si>
  <si>
    <t xml:space="preserve">Landkreis Biberach</t>
  </si>
  <si>
    <t xml:space="preserve">Landkreis Konstanz</t>
  </si>
  <si>
    <t xml:space="preserve">Landkreis Sigmaringen</t>
  </si>
  <si>
    <t xml:space="preserve">Landkreis Ravensburg</t>
  </si>
  <si>
    <t xml:space="preserve">Landkreis Hohenlohekreis</t>
  </si>
  <si>
    <t xml:space="preserve">Landkreis Schwarzwald-Baar-Kreis</t>
  </si>
  <si>
    <t xml:space="preserve">Landkreis Enzkreis</t>
  </si>
  <si>
    <t xml:space="preserve">Landkreis Waldshut</t>
  </si>
  <si>
    <t xml:space="preserve">Stadtkreis Baden-Baden</t>
  </si>
  <si>
    <t xml:space="preserve">Landkreis Neckar-Odenwald-Kreis</t>
  </si>
  <si>
    <t xml:space="preserve">Landkreis Alb-Donau-Kreis</t>
  </si>
  <si>
    <t xml:space="preserve">Stadtkreis Freiburg im Breisgau</t>
  </si>
  <si>
    <t xml:space="preserve">Landkreis Heilbronn</t>
  </si>
  <si>
    <t xml:space="preserve">Landkreis Rastatt</t>
  </si>
  <si>
    <t xml:space="preserve">Landkreis Breisgau-Hochschwarzwald</t>
  </si>
  <si>
    <t xml:space="preserve">Landkreis Rems-Murr-Kreis</t>
  </si>
  <si>
    <t xml:space="preserve">Landkreis Tuttlingen</t>
  </si>
  <si>
    <t xml:space="preserve">Landkreis Göppingen</t>
  </si>
  <si>
    <t xml:space="preserve">Landkreis Ostalbkreis</t>
  </si>
  <si>
    <t xml:space="preserve">Landkreis Ludwigsburg</t>
  </si>
  <si>
    <t xml:space="preserve">Landkreis Reutlingen</t>
  </si>
  <si>
    <t xml:space="preserve">Landkreis Tübingen</t>
  </si>
  <si>
    <t xml:space="preserve">Stadtkreis Ulm</t>
  </si>
  <si>
    <t xml:space="preserve">Landkreis Bodenseekreis</t>
  </si>
  <si>
    <t xml:space="preserve">Landkreis Schwäbisch Hall</t>
  </si>
  <si>
    <t xml:space="preserve">Landkreis Esslingen</t>
  </si>
  <si>
    <t xml:space="preserve">Landkreis Böblingen</t>
  </si>
  <si>
    <t xml:space="preserve">Landkreis Emmendingen</t>
  </si>
  <si>
    <t xml:space="preserve">Stadtkreis Heilbronn</t>
  </si>
  <si>
    <t xml:space="preserve">Stadtkreis Heidelberg</t>
  </si>
  <si>
    <t xml:space="preserve">Landkreis Calw</t>
  </si>
  <si>
    <t xml:space="preserve">Stadtkreis Stuttgart</t>
  </si>
  <si>
    <t xml:space="preserve">Baden-Württemberg</t>
  </si>
  <si>
    <t xml:space="preserve">Green = highest fast share, orange = lowest. Shares, BW average and differences are formulas.</t>
  </si>
  <si>
    <t xml:space="preserve">Finding 4: Stuttgart leads in quantity but lags in fast charging</t>
  </si>
  <si>
    <t xml:space="preserve">Key numbers</t>
  </si>
  <si>
    <t xml:space="preserve">19.1% of BW's charge points are fast charging (benchmark).</t>
  </si>
  <si>
    <t xml:space="preserve">Highest</t>
  </si>
  <si>
    <t xml:space="preserve">Rhein-Neckar-Kreis: 39.7%, +20.5 percentage points vs BW, double the average.</t>
  </si>
  <si>
    <t xml:space="preserve">Lowest</t>
  </si>
  <si>
    <t xml:space="preserve">Stuttgart: 5.4%, −13.8 percentage points vs BW. Only 235 of 4,381 charge points are fast.</t>
  </si>
  <si>
    <t xml:space="preserve">Key insight</t>
  </si>
  <si>
    <t xml:space="preserve">Stuttgart is #1 by total charge points (Q3) but last of 44 by fast share. Count alone made it look like the best-served district; the type of charger tells a different story.</t>
  </si>
  <si>
    <t xml:space="preserve">Hypotheses (not tested)</t>
  </si>
  <si>
    <t xml:space="preserve">Stuttgart</t>
  </si>
  <si>
    <t xml:space="preserve">City chargers are mostly AC on the street, in car parks and at workplaces. Fast-charging hubs need space and strong grid connections, harder to find in a dense city centre; they tend to sit along motorways outside the city.</t>
  </si>
  <si>
    <t xml:space="preserve">Rhein-Neckar-Kreis</t>
  </si>
  <si>
    <t xml:space="preserve">Surrounds major motorway junctions (A5, A6) around Heidelberg/Mannheim, natural stops for fast charging on long trips.</t>
  </si>
  <si>
    <t xml:space="preserve">Böblingen</t>
  </si>
  <si>
    <t xml:space="preserve">Also below average (13.5%). Fits the Q3 hypothesis of many workplace AC chargers at large employers. To be tested in Q6.</t>
  </si>
  <si>
    <t xml:space="preserve">Interview line</t>
  </si>
  <si>
    <t xml:space="preserve">Stuttgart has the most charge points in BW but the lowest fast-charging share, 5.4% against a BW average of 19.1%. Total counts alone would have hidden that.</t>
  </si>
  <si>
    <t xml:space="preserve">Model wording (rewrite in your own words)</t>
  </si>
  <si>
    <t xml:space="preserve">Finding 4</t>
  </si>
  <si>
    <t xml:space="preserve">19.1% of BW's charge points are fast charging (DC). The share ranges from 39.7% in Rhein-Neckar-Kreis to 5.4% in Stuttgart, the lowest of all 44 districts, although Stuttgart has the most charge points overall. Hypothesis, not tested: urban networks focus on AC street/workplace charging, while fast charging clusters along motorway corridors.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</si>
</sst>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+0.0;\-0.0;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6" min="5" style="1" width="12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 t="s">
        <v>10</v>
      </c>
      <c r="C5" s="6" t="n">
        <v>1195</v>
      </c>
      <c r="D5" s="6" t="n">
        <v>474</v>
      </c>
      <c r="E5" s="7" t="n">
        <f aca="false">D5/C5</f>
        <v>0.396652719665272</v>
      </c>
      <c r="F5" s="7" t="n">
        <f aca="false">$D$49/$C$49</f>
        <v>0.191410108079126</v>
      </c>
      <c r="G5" s="8" t="n">
        <f aca="false">(E5-F5)*100</f>
        <v>20.5242611586146</v>
      </c>
    </row>
    <row r="6" customFormat="false" ht="15" hidden="false" customHeight="true" outlineLevel="0" collapsed="false">
      <c r="A6" s="9" t="s">
        <v>11</v>
      </c>
      <c r="B6" s="9" t="s">
        <v>10</v>
      </c>
      <c r="C6" s="10" t="n">
        <v>233</v>
      </c>
      <c r="D6" s="10" t="n">
        <v>82</v>
      </c>
      <c r="E6" s="11" t="n">
        <f aca="false">D6/C6</f>
        <v>0.351931330472103</v>
      </c>
      <c r="F6" s="11" t="n">
        <f aca="false">$D$49/$C$49</f>
        <v>0.191410108079126</v>
      </c>
      <c r="G6" s="12" t="n">
        <f aca="false">(E6-F6)*100</f>
        <v>16.0521222392977</v>
      </c>
    </row>
    <row r="7" customFormat="false" ht="15" hidden="false" customHeight="true" outlineLevel="0" collapsed="false">
      <c r="A7" s="9" t="s">
        <v>12</v>
      </c>
      <c r="B7" s="9" t="s">
        <v>13</v>
      </c>
      <c r="C7" s="10" t="n">
        <v>662</v>
      </c>
      <c r="D7" s="10" t="n">
        <v>217</v>
      </c>
      <c r="E7" s="11" t="n">
        <f aca="false">D7/C7</f>
        <v>0.327794561933535</v>
      </c>
      <c r="F7" s="11" t="n">
        <f aca="false">$D$49/$C$49</f>
        <v>0.191410108079126</v>
      </c>
      <c r="G7" s="12" t="n">
        <f aca="false">(E7-F7)*100</f>
        <v>13.6384453854408</v>
      </c>
    </row>
    <row r="8" customFormat="false" ht="15" hidden="false" customHeight="true" outlineLevel="0" collapsed="false">
      <c r="A8" s="9" t="s">
        <v>14</v>
      </c>
      <c r="B8" s="9" t="s">
        <v>10</v>
      </c>
      <c r="C8" s="10" t="n">
        <v>491</v>
      </c>
      <c r="D8" s="10" t="n">
        <v>158</v>
      </c>
      <c r="E8" s="11" t="n">
        <f aca="false">D8/C8</f>
        <v>0.321792260692464</v>
      </c>
      <c r="F8" s="11" t="n">
        <f aca="false">$D$49/$C$49</f>
        <v>0.191410108079126</v>
      </c>
      <c r="G8" s="12" t="n">
        <f aca="false">(E8-F8)*100</f>
        <v>13.0382152613338</v>
      </c>
    </row>
    <row r="9" customFormat="false" ht="15" hidden="false" customHeight="true" outlineLevel="0" collapsed="false">
      <c r="A9" s="9" t="s">
        <v>15</v>
      </c>
      <c r="B9" s="9" t="s">
        <v>10</v>
      </c>
      <c r="C9" s="10" t="n">
        <v>350</v>
      </c>
      <c r="D9" s="10" t="n">
        <v>108</v>
      </c>
      <c r="E9" s="11" t="n">
        <f aca="false">D9/C9</f>
        <v>0.308571428571429</v>
      </c>
      <c r="F9" s="11" t="n">
        <f aca="false">$D$49/$C$49</f>
        <v>0.191410108079126</v>
      </c>
      <c r="G9" s="12" t="n">
        <f aca="false">(E9-F9)*100</f>
        <v>11.7161320492302</v>
      </c>
    </row>
    <row r="10" customFormat="false" ht="15" hidden="false" customHeight="true" outlineLevel="0" collapsed="false">
      <c r="A10" s="9" t="s">
        <v>16</v>
      </c>
      <c r="B10" s="9" t="s">
        <v>13</v>
      </c>
      <c r="C10" s="10" t="n">
        <v>824</v>
      </c>
      <c r="D10" s="10" t="n">
        <v>232</v>
      </c>
      <c r="E10" s="11" t="n">
        <f aca="false">D10/C10</f>
        <v>0.281553398058252</v>
      </c>
      <c r="F10" s="11" t="n">
        <f aca="false">$D$49/$C$49</f>
        <v>0.191410108079126</v>
      </c>
      <c r="G10" s="12" t="n">
        <f aca="false">(E10-F10)*100</f>
        <v>9.01432899791261</v>
      </c>
    </row>
    <row r="11" customFormat="false" ht="15" hidden="false" customHeight="true" outlineLevel="0" collapsed="false">
      <c r="A11" s="9" t="s">
        <v>17</v>
      </c>
      <c r="B11" s="9" t="s">
        <v>10</v>
      </c>
      <c r="C11" s="10" t="n">
        <v>383</v>
      </c>
      <c r="D11" s="10" t="n">
        <v>106</v>
      </c>
      <c r="E11" s="11" t="n">
        <f aca="false">D11/C11</f>
        <v>0.276762402088773</v>
      </c>
      <c r="F11" s="11" t="n">
        <f aca="false">$D$49/$C$49</f>
        <v>0.191410108079126</v>
      </c>
      <c r="G11" s="12" t="n">
        <f aca="false">(E11-F11)*100</f>
        <v>8.53522940096465</v>
      </c>
    </row>
    <row r="12" customFormat="false" ht="15" hidden="false" customHeight="true" outlineLevel="0" collapsed="false">
      <c r="A12" s="9" t="s">
        <v>18</v>
      </c>
      <c r="B12" s="9" t="s">
        <v>10</v>
      </c>
      <c r="C12" s="10" t="n">
        <v>1458</v>
      </c>
      <c r="D12" s="10" t="n">
        <v>397</v>
      </c>
      <c r="E12" s="11" t="n">
        <f aca="false">D12/C12</f>
        <v>0.272290809327846</v>
      </c>
      <c r="F12" s="11" t="n">
        <f aca="false">$D$49/$C$49</f>
        <v>0.191410108079126</v>
      </c>
      <c r="G12" s="12" t="n">
        <f aca="false">(E12-F12)*100</f>
        <v>8.088070124872</v>
      </c>
    </row>
    <row r="13" customFormat="false" ht="15" hidden="false" customHeight="true" outlineLevel="0" collapsed="false">
      <c r="A13" s="9" t="s">
        <v>19</v>
      </c>
      <c r="B13" s="9" t="s">
        <v>10</v>
      </c>
      <c r="C13" s="10" t="n">
        <v>1051</v>
      </c>
      <c r="D13" s="10" t="n">
        <v>284</v>
      </c>
      <c r="E13" s="11" t="n">
        <f aca="false">D13/C13</f>
        <v>0.270218839200761</v>
      </c>
      <c r="F13" s="11" t="n">
        <f aca="false">$D$49/$C$49</f>
        <v>0.191410108079126</v>
      </c>
      <c r="G13" s="12" t="n">
        <f aca="false">(E13-F13)*100</f>
        <v>7.88087311216348</v>
      </c>
    </row>
    <row r="14" customFormat="false" ht="15" hidden="false" customHeight="true" outlineLevel="0" collapsed="false">
      <c r="A14" s="9" t="s">
        <v>20</v>
      </c>
      <c r="B14" s="9" t="s">
        <v>10</v>
      </c>
      <c r="C14" s="10" t="n">
        <v>499</v>
      </c>
      <c r="D14" s="10" t="n">
        <v>133</v>
      </c>
      <c r="E14" s="11" t="n">
        <f aca="false">D14/C14</f>
        <v>0.266533066132265</v>
      </c>
      <c r="F14" s="11" t="n">
        <f aca="false">$D$49/$C$49</f>
        <v>0.191410108079126</v>
      </c>
      <c r="G14" s="12" t="n">
        <f aca="false">(E14-F14)*100</f>
        <v>7.51229580531382</v>
      </c>
    </row>
    <row r="15" customFormat="false" ht="15" hidden="false" customHeight="true" outlineLevel="0" collapsed="false">
      <c r="A15" s="9" t="s">
        <v>21</v>
      </c>
      <c r="B15" s="9" t="s">
        <v>13</v>
      </c>
      <c r="C15" s="10" t="n">
        <v>349</v>
      </c>
      <c r="D15" s="10" t="n">
        <v>93</v>
      </c>
      <c r="E15" s="11" t="n">
        <f aca="false">D15/C15</f>
        <v>0.26647564469914</v>
      </c>
      <c r="F15" s="11" t="n">
        <f aca="false">$D$49/$C$49</f>
        <v>0.191410108079126</v>
      </c>
      <c r="G15" s="12" t="n">
        <f aca="false">(E15-F15)*100</f>
        <v>7.50655366200141</v>
      </c>
    </row>
    <row r="16" customFormat="false" ht="15" hidden="false" customHeight="true" outlineLevel="0" collapsed="false">
      <c r="A16" s="9" t="s">
        <v>22</v>
      </c>
      <c r="B16" s="9" t="s">
        <v>10</v>
      </c>
      <c r="C16" s="10" t="n">
        <v>293</v>
      </c>
      <c r="D16" s="10" t="n">
        <v>78</v>
      </c>
      <c r="E16" s="11" t="n">
        <f aca="false">D16/C16</f>
        <v>0.266211604095563</v>
      </c>
      <c r="F16" s="11" t="n">
        <f aca="false">$D$49/$C$49</f>
        <v>0.191410108079126</v>
      </c>
      <c r="G16" s="12" t="n">
        <f aca="false">(E16-F16)*100</f>
        <v>7.48014960164368</v>
      </c>
    </row>
    <row r="17" customFormat="false" ht="15" hidden="false" customHeight="true" outlineLevel="0" collapsed="false">
      <c r="A17" s="9" t="s">
        <v>23</v>
      </c>
      <c r="B17" s="9" t="s">
        <v>10</v>
      </c>
      <c r="C17" s="10" t="n">
        <v>316</v>
      </c>
      <c r="D17" s="10" t="n">
        <v>84</v>
      </c>
      <c r="E17" s="11" t="n">
        <f aca="false">D17/C17</f>
        <v>0.265822784810127</v>
      </c>
      <c r="F17" s="11" t="n">
        <f aca="false">$D$49/$C$49</f>
        <v>0.191410108079126</v>
      </c>
      <c r="G17" s="12" t="n">
        <f aca="false">(E17-F17)*100</f>
        <v>7.44126767310002</v>
      </c>
    </row>
    <row r="18" customFormat="false" ht="15" hidden="false" customHeight="true" outlineLevel="0" collapsed="false">
      <c r="A18" s="9" t="s">
        <v>24</v>
      </c>
      <c r="B18" s="9" t="s">
        <v>10</v>
      </c>
      <c r="C18" s="10" t="n">
        <v>726</v>
      </c>
      <c r="D18" s="10" t="n">
        <v>187</v>
      </c>
      <c r="E18" s="11" t="n">
        <f aca="false">D18/C18</f>
        <v>0.257575757575758</v>
      </c>
      <c r="F18" s="11" t="n">
        <f aca="false">$D$49/$C$49</f>
        <v>0.191410108079126</v>
      </c>
      <c r="G18" s="12" t="n">
        <f aca="false">(E18-F18)*100</f>
        <v>6.61656494966312</v>
      </c>
    </row>
    <row r="19" customFormat="false" ht="15" hidden="false" customHeight="true" outlineLevel="0" collapsed="false">
      <c r="A19" s="9" t="s">
        <v>25</v>
      </c>
      <c r="B19" s="9" t="s">
        <v>10</v>
      </c>
      <c r="C19" s="10" t="n">
        <v>225</v>
      </c>
      <c r="D19" s="10" t="n">
        <v>53</v>
      </c>
      <c r="E19" s="11" t="n">
        <f aca="false">D19/C19</f>
        <v>0.235555555555556</v>
      </c>
      <c r="F19" s="11" t="n">
        <f aca="false">$D$49/$C$49</f>
        <v>0.191410108079126</v>
      </c>
      <c r="G19" s="12" t="n">
        <f aca="false">(E19-F19)*100</f>
        <v>4.41454474764292</v>
      </c>
    </row>
    <row r="20" customFormat="false" ht="15" hidden="false" customHeight="true" outlineLevel="0" collapsed="false">
      <c r="A20" s="9" t="s">
        <v>26</v>
      </c>
      <c r="B20" s="9" t="s">
        <v>10</v>
      </c>
      <c r="C20" s="10" t="n">
        <v>1082</v>
      </c>
      <c r="D20" s="10" t="n">
        <v>247</v>
      </c>
      <c r="E20" s="11" t="n">
        <f aca="false">D20/C20</f>
        <v>0.228280961182994</v>
      </c>
      <c r="F20" s="11" t="n">
        <f aca="false">$D$49/$C$49</f>
        <v>0.191410108079126</v>
      </c>
      <c r="G20" s="12" t="n">
        <f aca="false">(E20-F20)*100</f>
        <v>3.68708531038681</v>
      </c>
    </row>
    <row r="21" customFormat="false" ht="15" hidden="false" customHeight="true" outlineLevel="0" collapsed="false">
      <c r="A21" s="9" t="s">
        <v>27</v>
      </c>
      <c r="B21" s="9" t="s">
        <v>10</v>
      </c>
      <c r="C21" s="10" t="n">
        <v>582</v>
      </c>
      <c r="D21" s="10" t="n">
        <v>132</v>
      </c>
      <c r="E21" s="11" t="n">
        <f aca="false">D21/C21</f>
        <v>0.22680412371134</v>
      </c>
      <c r="F21" s="11" t="n">
        <f aca="false">$D$49/$C$49</f>
        <v>0.191410108079126</v>
      </c>
      <c r="G21" s="12" t="n">
        <f aca="false">(E21-F21)*100</f>
        <v>3.53940156322139</v>
      </c>
    </row>
    <row r="22" customFormat="false" ht="15" hidden="false" customHeight="true" outlineLevel="0" collapsed="false">
      <c r="A22" s="9" t="s">
        <v>28</v>
      </c>
      <c r="B22" s="9" t="s">
        <v>10</v>
      </c>
      <c r="C22" s="10" t="n">
        <v>546</v>
      </c>
      <c r="D22" s="10" t="n">
        <v>123</v>
      </c>
      <c r="E22" s="11" t="n">
        <f aca="false">D22/C22</f>
        <v>0.225274725274725</v>
      </c>
      <c r="F22" s="11" t="n">
        <f aca="false">$D$49/$C$49</f>
        <v>0.191410108079126</v>
      </c>
      <c r="G22" s="12" t="n">
        <f aca="false">(E22-F22)*100</f>
        <v>3.38646171955989</v>
      </c>
    </row>
    <row r="23" customFormat="false" ht="15" hidden="false" customHeight="true" outlineLevel="0" collapsed="false">
      <c r="A23" s="9" t="s">
        <v>29</v>
      </c>
      <c r="B23" s="9" t="s">
        <v>10</v>
      </c>
      <c r="C23" s="10" t="n">
        <v>396</v>
      </c>
      <c r="D23" s="10" t="n">
        <v>89</v>
      </c>
      <c r="E23" s="11" t="n">
        <f aca="false">D23/C23</f>
        <v>0.224747474747475</v>
      </c>
      <c r="F23" s="11" t="n">
        <f aca="false">$D$49/$C$49</f>
        <v>0.191410108079126</v>
      </c>
      <c r="G23" s="12" t="n">
        <f aca="false">(E23-F23)*100</f>
        <v>3.33373666683484</v>
      </c>
    </row>
    <row r="24" customFormat="false" ht="15" hidden="false" customHeight="true" outlineLevel="0" collapsed="false">
      <c r="A24" s="9" t="s">
        <v>30</v>
      </c>
      <c r="B24" s="9" t="s">
        <v>10</v>
      </c>
      <c r="C24" s="10" t="n">
        <v>471</v>
      </c>
      <c r="D24" s="10" t="n">
        <v>105</v>
      </c>
      <c r="E24" s="11" t="n">
        <f aca="false">D24/C24</f>
        <v>0.222929936305733</v>
      </c>
      <c r="F24" s="11" t="n">
        <f aca="false">$D$49/$C$49</f>
        <v>0.191410108079126</v>
      </c>
      <c r="G24" s="12" t="n">
        <f aca="false">(E24-F24)*100</f>
        <v>3.15198282266062</v>
      </c>
    </row>
    <row r="25" customFormat="false" ht="15" hidden="false" customHeight="true" outlineLevel="0" collapsed="false">
      <c r="A25" s="9" t="s">
        <v>31</v>
      </c>
      <c r="B25" s="9" t="s">
        <v>13</v>
      </c>
      <c r="C25" s="10" t="n">
        <v>180</v>
      </c>
      <c r="D25" s="10" t="n">
        <v>40</v>
      </c>
      <c r="E25" s="11" t="n">
        <f aca="false">D25/C25</f>
        <v>0.222222222222222</v>
      </c>
      <c r="F25" s="11" t="n">
        <f aca="false">$D$49/$C$49</f>
        <v>0.191410108079126</v>
      </c>
      <c r="G25" s="12" t="n">
        <f aca="false">(E25-F25)*100</f>
        <v>3.08121141430959</v>
      </c>
    </row>
    <row r="26" customFormat="false" ht="15" hidden="false" customHeight="true" outlineLevel="0" collapsed="false">
      <c r="A26" s="9" t="s">
        <v>32</v>
      </c>
      <c r="B26" s="9" t="s">
        <v>10</v>
      </c>
      <c r="C26" s="10" t="n">
        <v>330</v>
      </c>
      <c r="D26" s="10" t="n">
        <v>72</v>
      </c>
      <c r="E26" s="11" t="n">
        <f aca="false">D26/C26</f>
        <v>0.218181818181818</v>
      </c>
      <c r="F26" s="11" t="n">
        <f aca="false">$D$49/$C$49</f>
        <v>0.191410108079126</v>
      </c>
      <c r="G26" s="12" t="n">
        <f aca="false">(E26-F26)*100</f>
        <v>2.67717101026918</v>
      </c>
    </row>
    <row r="27" customFormat="false" ht="15" hidden="false" customHeight="true" outlineLevel="0" collapsed="false">
      <c r="A27" s="9" t="s">
        <v>33</v>
      </c>
      <c r="B27" s="9" t="s">
        <v>10</v>
      </c>
      <c r="C27" s="10" t="n">
        <v>849</v>
      </c>
      <c r="D27" s="10" t="n">
        <v>174</v>
      </c>
      <c r="E27" s="11" t="n">
        <f aca="false">D27/C27</f>
        <v>0.204946996466431</v>
      </c>
      <c r="F27" s="11" t="n">
        <f aca="false">$D$49/$C$49</f>
        <v>0.191410108079126</v>
      </c>
      <c r="G27" s="12" t="n">
        <f aca="false">(E27-F27)*100</f>
        <v>1.35368883873048</v>
      </c>
    </row>
    <row r="28" customFormat="false" ht="15" hidden="false" customHeight="true" outlineLevel="0" collapsed="false">
      <c r="A28" s="9" t="s">
        <v>34</v>
      </c>
      <c r="B28" s="9" t="s">
        <v>13</v>
      </c>
      <c r="C28" s="10" t="n">
        <v>858</v>
      </c>
      <c r="D28" s="10" t="n">
        <v>175</v>
      </c>
      <c r="E28" s="11" t="n">
        <f aca="false">D28/C28</f>
        <v>0.203962703962704</v>
      </c>
      <c r="F28" s="11" t="n">
        <f aca="false">$D$49/$C$49</f>
        <v>0.191410108079126</v>
      </c>
      <c r="G28" s="12" t="n">
        <f aca="false">(E28-F28)*100</f>
        <v>1.25525958835776</v>
      </c>
    </row>
    <row r="29" customFormat="false" ht="15" hidden="false" customHeight="true" outlineLevel="0" collapsed="false">
      <c r="A29" s="9" t="s">
        <v>35</v>
      </c>
      <c r="B29" s="9" t="s">
        <v>10</v>
      </c>
      <c r="C29" s="10" t="n">
        <v>1258</v>
      </c>
      <c r="D29" s="10" t="n">
        <v>254</v>
      </c>
      <c r="E29" s="11" t="n">
        <f aca="false">D29/C29</f>
        <v>0.201907790143084</v>
      </c>
      <c r="F29" s="11" t="n">
        <f aca="false">$D$49/$C$49</f>
        <v>0.191410108079126</v>
      </c>
      <c r="G29" s="12" t="n">
        <f aca="false">(E29-F29)*100</f>
        <v>1.04976820639579</v>
      </c>
    </row>
    <row r="30" customFormat="false" ht="15" hidden="false" customHeight="true" outlineLevel="0" collapsed="false">
      <c r="A30" s="9" t="s">
        <v>36</v>
      </c>
      <c r="B30" s="9" t="s">
        <v>10</v>
      </c>
      <c r="C30" s="10" t="n">
        <v>645</v>
      </c>
      <c r="D30" s="10" t="n">
        <v>129</v>
      </c>
      <c r="E30" s="11" t="n">
        <f aca="false">D30/C30</f>
        <v>0.2</v>
      </c>
      <c r="F30" s="11" t="n">
        <f aca="false">$D$49/$C$49</f>
        <v>0.191410108079126</v>
      </c>
      <c r="G30" s="12" t="n">
        <f aca="false">(E30-F30)*100</f>
        <v>0.858989192087367</v>
      </c>
    </row>
    <row r="31" customFormat="false" ht="15" hidden="false" customHeight="true" outlineLevel="0" collapsed="false">
      <c r="A31" s="9" t="s">
        <v>37</v>
      </c>
      <c r="B31" s="9" t="s">
        <v>10</v>
      </c>
      <c r="C31" s="10" t="n">
        <v>796</v>
      </c>
      <c r="D31" s="10" t="n">
        <v>157</v>
      </c>
      <c r="E31" s="11" t="n">
        <f aca="false">D31/C31</f>
        <v>0.197236180904523</v>
      </c>
      <c r="F31" s="11" t="n">
        <f aca="false">$D$49/$C$49</f>
        <v>0.191410108079126</v>
      </c>
      <c r="G31" s="12" t="n">
        <f aca="false">(E31-F31)*100</f>
        <v>0.582607282539627</v>
      </c>
    </row>
    <row r="32" customFormat="false" ht="15" hidden="false" customHeight="true" outlineLevel="0" collapsed="false">
      <c r="A32" s="9" t="s">
        <v>38</v>
      </c>
      <c r="B32" s="9" t="s">
        <v>10</v>
      </c>
      <c r="C32" s="10" t="n">
        <v>1091</v>
      </c>
      <c r="D32" s="10" t="n">
        <v>215</v>
      </c>
      <c r="E32" s="11" t="n">
        <f aca="false">D32/C32</f>
        <v>0.197066911090742</v>
      </c>
      <c r="F32" s="11" t="n">
        <f aca="false">$D$49/$C$49</f>
        <v>0.191410108079126</v>
      </c>
      <c r="G32" s="12" t="n">
        <f aca="false">(E32-F32)*100</f>
        <v>0.565680301161609</v>
      </c>
    </row>
    <row r="33" customFormat="false" ht="15" hidden="false" customHeight="true" outlineLevel="0" collapsed="false">
      <c r="A33" s="9" t="s">
        <v>39</v>
      </c>
      <c r="B33" s="9" t="s">
        <v>10</v>
      </c>
      <c r="C33" s="10" t="n">
        <v>377</v>
      </c>
      <c r="D33" s="10" t="n">
        <v>74</v>
      </c>
      <c r="E33" s="11" t="n">
        <f aca="false">D33/C33</f>
        <v>0.196286472148541</v>
      </c>
      <c r="F33" s="11" t="n">
        <f aca="false">$D$49/$C$49</f>
        <v>0.191410108079126</v>
      </c>
      <c r="G33" s="12" t="n">
        <f aca="false">(E33-F33)*100</f>
        <v>0.487636406941477</v>
      </c>
    </row>
    <row r="34" customFormat="false" ht="15" hidden="false" customHeight="true" outlineLevel="0" collapsed="false">
      <c r="A34" s="9" t="s">
        <v>40</v>
      </c>
      <c r="B34" s="9" t="s">
        <v>10</v>
      </c>
      <c r="C34" s="10" t="n">
        <v>815</v>
      </c>
      <c r="D34" s="10" t="n">
        <v>157</v>
      </c>
      <c r="E34" s="11" t="n">
        <f aca="false">D34/C34</f>
        <v>0.192638036809816</v>
      </c>
      <c r="F34" s="11" t="n">
        <f aca="false">$D$49/$C$49</f>
        <v>0.191410108079126</v>
      </c>
      <c r="G34" s="12" t="n">
        <f aca="false">(E34-F34)*100</f>
        <v>0.122792873068961</v>
      </c>
    </row>
    <row r="35" customFormat="false" ht="15" hidden="false" customHeight="true" outlineLevel="0" collapsed="false">
      <c r="A35" s="9" t="s">
        <v>41</v>
      </c>
      <c r="B35" s="9" t="s">
        <v>10</v>
      </c>
      <c r="C35" s="10" t="n">
        <v>855</v>
      </c>
      <c r="D35" s="10" t="n">
        <v>157</v>
      </c>
      <c r="E35" s="11" t="n">
        <f aca="false">D35/C35</f>
        <v>0.183625730994152</v>
      </c>
      <c r="F35" s="11" t="n">
        <f aca="false">$D$49/$C$49</f>
        <v>0.191410108079126</v>
      </c>
      <c r="G35" s="12" t="n">
        <f aca="false">(E35-F35)*100</f>
        <v>-0.778437708497429</v>
      </c>
    </row>
    <row r="36" customFormat="false" ht="15" hidden="false" customHeight="true" outlineLevel="0" collapsed="false">
      <c r="A36" s="9" t="s">
        <v>42</v>
      </c>
      <c r="B36" s="9" t="s">
        <v>10</v>
      </c>
      <c r="C36" s="10" t="n">
        <v>1401</v>
      </c>
      <c r="D36" s="10" t="n">
        <v>254</v>
      </c>
      <c r="E36" s="11" t="n">
        <f aca="false">D36/C36</f>
        <v>0.181299072091363</v>
      </c>
      <c r="F36" s="11" t="n">
        <f aca="false">$D$49/$C$49</f>
        <v>0.191410108079126</v>
      </c>
      <c r="G36" s="12" t="n">
        <f aca="false">(E36-F36)*100</f>
        <v>-1.0111035987763</v>
      </c>
    </row>
    <row r="37" customFormat="false" ht="15" hidden="false" customHeight="true" outlineLevel="0" collapsed="false">
      <c r="A37" s="9" t="s">
        <v>43</v>
      </c>
      <c r="B37" s="9" t="s">
        <v>10</v>
      </c>
      <c r="C37" s="10" t="n">
        <v>739</v>
      </c>
      <c r="D37" s="10" t="n">
        <v>131</v>
      </c>
      <c r="E37" s="11" t="n">
        <f aca="false">D37/C37</f>
        <v>0.177266576454668</v>
      </c>
      <c r="F37" s="11" t="n">
        <f aca="false">$D$49/$C$49</f>
        <v>0.191410108079126</v>
      </c>
      <c r="G37" s="12" t="n">
        <f aca="false">(E37-F37)*100</f>
        <v>-1.41435316244579</v>
      </c>
    </row>
    <row r="38" customFormat="false" ht="15" hidden="false" customHeight="true" outlineLevel="0" collapsed="false">
      <c r="A38" s="9" t="s">
        <v>44</v>
      </c>
      <c r="B38" s="9" t="s">
        <v>10</v>
      </c>
      <c r="C38" s="10" t="n">
        <v>681</v>
      </c>
      <c r="D38" s="10" t="n">
        <v>118</v>
      </c>
      <c r="E38" s="11" t="n">
        <f aca="false">D38/C38</f>
        <v>0.173274596182085</v>
      </c>
      <c r="F38" s="11" t="n">
        <f aca="false">$D$49/$C$49</f>
        <v>0.191410108079126</v>
      </c>
      <c r="G38" s="12" t="n">
        <f aca="false">(E38-F38)*100</f>
        <v>-1.81355118970412</v>
      </c>
    </row>
    <row r="39" customFormat="false" ht="15" hidden="false" customHeight="true" outlineLevel="0" collapsed="false">
      <c r="A39" s="9" t="s">
        <v>45</v>
      </c>
      <c r="B39" s="9" t="s">
        <v>13</v>
      </c>
      <c r="C39" s="10" t="n">
        <v>636</v>
      </c>
      <c r="D39" s="10" t="n">
        <v>109</v>
      </c>
      <c r="E39" s="11" t="n">
        <f aca="false">D39/C39</f>
        <v>0.171383647798742</v>
      </c>
      <c r="F39" s="11" t="n">
        <f aca="false">$D$49/$C$49</f>
        <v>0.191410108079126</v>
      </c>
      <c r="G39" s="12" t="n">
        <f aca="false">(E39-F39)*100</f>
        <v>-2.00264602803842</v>
      </c>
    </row>
    <row r="40" customFormat="false" ht="15" hidden="false" customHeight="true" outlineLevel="0" collapsed="false">
      <c r="A40" s="9" t="s">
        <v>46</v>
      </c>
      <c r="B40" s="9" t="s">
        <v>10</v>
      </c>
      <c r="C40" s="10" t="n">
        <v>644</v>
      </c>
      <c r="D40" s="10" t="n">
        <v>108</v>
      </c>
      <c r="E40" s="11" t="n">
        <f aca="false">D40/C40</f>
        <v>0.167701863354037</v>
      </c>
      <c r="F40" s="11" t="n">
        <f aca="false">$D$49/$C$49</f>
        <v>0.191410108079126</v>
      </c>
      <c r="G40" s="12" t="n">
        <f aca="false">(E40-F40)*100</f>
        <v>-2.37082447250891</v>
      </c>
    </row>
    <row r="41" customFormat="false" ht="15" hidden="false" customHeight="true" outlineLevel="0" collapsed="false">
      <c r="A41" s="9" t="s">
        <v>47</v>
      </c>
      <c r="B41" s="9" t="s">
        <v>10</v>
      </c>
      <c r="C41" s="10" t="n">
        <v>588</v>
      </c>
      <c r="D41" s="10" t="n">
        <v>96</v>
      </c>
      <c r="E41" s="11" t="n">
        <f aca="false">D41/C41</f>
        <v>0.163265306122449</v>
      </c>
      <c r="F41" s="11" t="n">
        <f aca="false">$D$49/$C$49</f>
        <v>0.191410108079126</v>
      </c>
      <c r="G41" s="12" t="n">
        <f aca="false">(E41-F41)*100</f>
        <v>-2.81448019566774</v>
      </c>
    </row>
    <row r="42" customFormat="false" ht="15" hidden="false" customHeight="true" outlineLevel="0" collapsed="false">
      <c r="A42" s="9" t="s">
        <v>48</v>
      </c>
      <c r="B42" s="9" t="s">
        <v>10</v>
      </c>
      <c r="C42" s="10" t="n">
        <v>1405</v>
      </c>
      <c r="D42" s="10" t="n">
        <v>223</v>
      </c>
      <c r="E42" s="11" t="n">
        <f aca="false">D42/C42</f>
        <v>0.158718861209964</v>
      </c>
      <c r="F42" s="11" t="n">
        <f aca="false">$D$49/$C$49</f>
        <v>0.191410108079126</v>
      </c>
      <c r="G42" s="12" t="n">
        <f aca="false">(E42-F42)*100</f>
        <v>-3.26912468691619</v>
      </c>
    </row>
    <row r="43" customFormat="false" ht="15" hidden="false" customHeight="true" outlineLevel="0" collapsed="false">
      <c r="A43" s="9" t="s">
        <v>49</v>
      </c>
      <c r="B43" s="9" t="s">
        <v>10</v>
      </c>
      <c r="C43" s="10" t="n">
        <v>2033</v>
      </c>
      <c r="D43" s="10" t="n">
        <v>274</v>
      </c>
      <c r="E43" s="11" t="n">
        <f aca="false">D43/C43</f>
        <v>0.134776192818495</v>
      </c>
      <c r="F43" s="11" t="n">
        <f aca="false">$D$49/$C$49</f>
        <v>0.191410108079126</v>
      </c>
      <c r="G43" s="12" t="n">
        <f aca="false">(E43-F43)*100</f>
        <v>-5.66339152606315</v>
      </c>
    </row>
    <row r="44" customFormat="false" ht="15" hidden="false" customHeight="true" outlineLevel="0" collapsed="false">
      <c r="A44" s="9" t="s">
        <v>50</v>
      </c>
      <c r="B44" s="9" t="s">
        <v>10</v>
      </c>
      <c r="C44" s="10" t="n">
        <v>684</v>
      </c>
      <c r="D44" s="10" t="n">
        <v>72</v>
      </c>
      <c r="E44" s="11" t="n">
        <f aca="false">D44/C44</f>
        <v>0.105263157894737</v>
      </c>
      <c r="F44" s="11" t="n">
        <f aca="false">$D$49/$C$49</f>
        <v>0.191410108079126</v>
      </c>
      <c r="G44" s="12" t="n">
        <f aca="false">(E44-F44)*100</f>
        <v>-8.61469501843895</v>
      </c>
    </row>
    <row r="45" customFormat="false" ht="15" hidden="false" customHeight="true" outlineLevel="0" collapsed="false">
      <c r="A45" s="9" t="s">
        <v>51</v>
      </c>
      <c r="B45" s="9" t="s">
        <v>13</v>
      </c>
      <c r="C45" s="10" t="n">
        <v>834</v>
      </c>
      <c r="D45" s="10" t="n">
        <v>83</v>
      </c>
      <c r="E45" s="11" t="n">
        <f aca="false">D45/C45</f>
        <v>0.0995203836930456</v>
      </c>
      <c r="F45" s="11" t="n">
        <f aca="false">$D$49/$C$49</f>
        <v>0.191410108079126</v>
      </c>
      <c r="G45" s="12" t="n">
        <f aca="false">(E45-F45)*100</f>
        <v>-9.18897243860808</v>
      </c>
    </row>
    <row r="46" customFormat="false" ht="15" hidden="false" customHeight="true" outlineLevel="0" collapsed="false">
      <c r="A46" s="9" t="s">
        <v>52</v>
      </c>
      <c r="B46" s="9" t="s">
        <v>13</v>
      </c>
      <c r="C46" s="10" t="n">
        <v>784</v>
      </c>
      <c r="D46" s="10" t="n">
        <v>66</v>
      </c>
      <c r="E46" s="11" t="n">
        <f aca="false">D46/C46</f>
        <v>0.0841836734693878</v>
      </c>
      <c r="F46" s="11" t="n">
        <f aca="false">$D$49/$C$49</f>
        <v>0.191410108079126</v>
      </c>
      <c r="G46" s="12" t="n">
        <f aca="false">(E46-F46)*100</f>
        <v>-10.7226434609739</v>
      </c>
    </row>
    <row r="47" customFormat="false" ht="15" hidden="false" customHeight="true" outlineLevel="0" collapsed="false">
      <c r="A47" s="9" t="s">
        <v>53</v>
      </c>
      <c r="B47" s="9" t="s">
        <v>10</v>
      </c>
      <c r="C47" s="10" t="n">
        <v>441</v>
      </c>
      <c r="D47" s="10" t="n">
        <v>28</v>
      </c>
      <c r="E47" s="11" t="n">
        <f aca="false">D47/C47</f>
        <v>0.0634920634920635</v>
      </c>
      <c r="F47" s="11" t="n">
        <f aca="false">$D$49/$C$49</f>
        <v>0.191410108079126</v>
      </c>
      <c r="G47" s="12" t="n">
        <f aca="false">(E47-F47)*100</f>
        <v>-12.7918044587063</v>
      </c>
    </row>
    <row r="48" customFormat="false" ht="15" hidden="false" customHeight="true" outlineLevel="0" collapsed="false">
      <c r="A48" s="13" t="s">
        <v>54</v>
      </c>
      <c r="B48" s="13" t="s">
        <v>13</v>
      </c>
      <c r="C48" s="14" t="n">
        <v>4381</v>
      </c>
      <c r="D48" s="14" t="n">
        <v>235</v>
      </c>
      <c r="E48" s="15" t="n">
        <f aca="false">D48/C48</f>
        <v>0.0536407212965077</v>
      </c>
      <c r="F48" s="15" t="n">
        <f aca="false">$D$49/$C$49</f>
        <v>0.191410108079126</v>
      </c>
      <c r="G48" s="16" t="n">
        <f aca="false">(E48-F48)*100</f>
        <v>-13.7769386782619</v>
      </c>
    </row>
    <row r="49" customFormat="false" ht="15" hidden="false" customHeight="true" outlineLevel="0" collapsed="false">
      <c r="A49" s="17" t="s">
        <v>55</v>
      </c>
      <c r="C49" s="18" t="n">
        <f aca="false">SUM(C5:C48)</f>
        <v>35437</v>
      </c>
      <c r="D49" s="18" t="n">
        <f aca="false">SUM(D5:D48)</f>
        <v>6783</v>
      </c>
      <c r="E49" s="19" t="n">
        <f aca="false">D49/C49</f>
        <v>0.191410108079126</v>
      </c>
    </row>
    <row r="51" customFormat="false" ht="15" hidden="false" customHeight="true" outlineLevel="0" collapsed="false">
      <c r="A51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57</v>
      </c>
    </row>
    <row r="3" customFormat="false" ht="15" hidden="false" customHeight="true" outlineLevel="0" collapsed="false">
      <c r="A3" s="20" t="s">
        <v>58</v>
      </c>
    </row>
    <row r="4" customFormat="false" ht="15" hidden="false" customHeight="true" outlineLevel="0" collapsed="false">
      <c r="A4" s="21" t="s">
        <v>7</v>
      </c>
      <c r="B4" s="22" t="s">
        <v>59</v>
      </c>
    </row>
    <row r="5" customFormat="false" ht="15" hidden="false" customHeight="true" outlineLevel="0" collapsed="false">
      <c r="A5" s="21" t="s">
        <v>60</v>
      </c>
      <c r="B5" s="22" t="s">
        <v>61</v>
      </c>
    </row>
    <row r="6" customFormat="false" ht="15" hidden="false" customHeight="true" outlineLevel="0" collapsed="false">
      <c r="A6" s="21" t="s">
        <v>62</v>
      </c>
      <c r="B6" s="22" t="s">
        <v>63</v>
      </c>
    </row>
    <row r="7" customFormat="false" ht="26.25" hidden="false" customHeight="true" outlineLevel="0" collapsed="false">
      <c r="A7" s="21" t="s">
        <v>64</v>
      </c>
      <c r="B7" s="22" t="s">
        <v>65</v>
      </c>
    </row>
    <row r="9" customFormat="false" ht="26.25" hidden="false" customHeight="true" outlineLevel="0" collapsed="false">
      <c r="A9" s="20" t="s">
        <v>66</v>
      </c>
    </row>
    <row r="10" customFormat="false" ht="39" hidden="false" customHeight="true" outlineLevel="0" collapsed="false">
      <c r="A10" s="21" t="s">
        <v>67</v>
      </c>
      <c r="B10" s="22" t="s">
        <v>68</v>
      </c>
    </row>
    <row r="11" customFormat="false" ht="26.25" hidden="false" customHeight="true" outlineLevel="0" collapsed="false">
      <c r="A11" s="21" t="s">
        <v>69</v>
      </c>
      <c r="B11" s="22" t="s">
        <v>70</v>
      </c>
    </row>
    <row r="12" customFormat="false" ht="26.25" hidden="false" customHeight="true" outlineLevel="0" collapsed="false">
      <c r="A12" s="21" t="s">
        <v>71</v>
      </c>
      <c r="B12" s="22" t="s">
        <v>72</v>
      </c>
    </row>
    <row r="14" customFormat="false" ht="15" hidden="false" customHeight="true" outlineLevel="0" collapsed="false">
      <c r="A14" s="20" t="s">
        <v>73</v>
      </c>
    </row>
    <row r="15" customFormat="false" ht="26.25" hidden="false" customHeight="true" outlineLevel="0" collapsed="false">
      <c r="A15" s="21"/>
      <c r="B15" s="22" t="s">
        <v>74</v>
      </c>
    </row>
    <row r="17" customFormat="false" ht="39" hidden="false" customHeight="true" outlineLevel="0" collapsed="false">
      <c r="A17" s="20" t="s">
        <v>75</v>
      </c>
    </row>
    <row r="18" customFormat="false" ht="51.75" hidden="false" customHeight="true" outlineLevel="0" collapsed="false">
      <c r="A18" s="21" t="s">
        <v>76</v>
      </c>
      <c r="B18" s="2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2026-10-26T09:20:40Z</dcterms:created>
  <dc:creator>openpyxl</dc:creator>
  <dc:description/>
  <dc:language>en-US</dc:language>
  <cp:lastModifiedBy/>
  <dcterms:modified xsi:type="dcterms:W3CDTF">2026-10-26T09:20:49Z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