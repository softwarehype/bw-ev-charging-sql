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1 States" sheetId="1" state="visible" r:id="rId3"/>
    <sheet name="Finding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<sst xmlns="http://schemas.openxmlformats.org/spreadsheetml/2006/main" count="45" uniqueCount="45">
  <si>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Q1: How big is BW's charging network, and how does it rank among the 16 states?</t>
  </si>
  <si>
    <t xml:space="preserve">Source: BNetzA Ladesäulenregister, data as of 30.09.2026 (clean.charging_stations, 08_analysis.sql)</t>
  </si>
  <si>
    <t xml:space="preserve">Federal state</t>
  </si>
  <si>
    <t xml:space="preserve">Stations</t>
  </si>
  <si>
    <t xml:space="preserve">Charge points</t>
  </si>
  <si>
    <t xml:space="preserve">Rank by stations</t>
  </si>
  <si>
    <t xml:space="preserve">Rank by charge points</t>
  </si>
  <si>
    <t xml:space="preserve">% of Germany's charge points</t>
  </si>
  <si>
    <t xml:space="preserve">Charge points per station</t>
  </si>
  <si>
    <t xml:space="preserve">Nordrhein-Westfalen</t>
  </si>
  <si>
    <t xml:space="preserve">Bayern</t>
  </si>
  <si>
    <t xml:space="preserve">Baden-Württemberg</t>
  </si>
  <si>
    <t xml:space="preserve">Niedersachsen</t>
  </si>
  <si>
    <t xml:space="preserve">Hessen</t>
  </si>
  <si>
    <t xml:space="preserve">Schleswig-Holstein</t>
  </si>
  <si>
    <t xml:space="preserve">Rheinland-Pfalz</t>
  </si>
  <si>
    <t xml:space="preserve">Berlin</t>
  </si>
  <si>
    <t xml:space="preserve">Sachsen</t>
  </si>
  <si>
    <t xml:space="preserve">Hamburg</t>
  </si>
  <si>
    <t xml:space="preserve">Brandenburg</t>
  </si>
  <si>
    <t xml:space="preserve">Thüringen</t>
  </si>
  <si>
    <t xml:space="preserve">Sachsen-Anhalt</t>
  </si>
  <si>
    <t xml:space="preserve">Mecklenburg-Vorpommern</t>
  </si>
  <si>
    <t xml:space="preserve">Bremen</t>
  </si>
  <si>
    <t xml:space="preserve">Saarland</t>
  </si>
  <si>
    <t xml:space="preserve">Germany</t>
  </si>
  <si>
    <t xml:space="preserve">BW row highlighted. Ranks, shares and points per station are formulas; station and charge point counts come from the SQL query.</t>
  </si>
  <si>
    <t xml:space="preserve">Finding 1: BW is Germany's #3 charging network</t>
  </si>
  <si>
    <t xml:space="preserve">Answers</t>
  </si>
  <si>
    <t xml:space="preserve">1. BW's rank</t>
  </si>
  <si>
    <t xml:space="preserve">3rd by stations (19,018) and 3rd by charge points (35,437), behind NRW and Bayern either way.</t>
  </si>
  <si>
    <t xml:space="preserve">2. Top two swap</t>
  </si>
  <si>
    <t xml:space="preserve">Bayern has the most stations (rank 1); NRW has the most charge points (rank 1). NRW's stations have more charge points on average.</t>
  </si>
  <si>
    <t xml:space="preserve">Charge points per station: NRW 1.83, Bayern 1.74, BW 1.86. BW has the highest of the top three: fewer locations, each slightly better equipped.</t>
  </si>
  <si>
    <t xml:space="preserve">Berlin shows the opposite: 6th by stations but 8th by charge points (1.53), so many single-point stations.</t>
  </si>
  <si>
    <t xml:space="preserve">3. BW's share</t>
  </si>
  <si>
    <t xml:space="preserve">16.8% of Germany's charge points.</t>
  </si>
  <si>
    <t xml:space="preserve">Caveat</t>
  </si>
  <si>
    <t xml:space="preserve">Absolute numbers</t>
  </si>
  <si>
    <t xml:space="preserve">Big states naturally have more chargers. A fair comparison divides by population or EV count (questions 9–10).</t>
  </si>
  <si>
    <t xml:space="preserve">Population hint</t>
  </si>
  <si>
    <t xml:space="preserve">BW has about 13.5% of Germany's population (approx. 11.3 of 84 million; verify against Destatis before using in the README), so 16.8% of charge points suggests BW is above its population share. A hint, not a result, until population data is in the project.</t>
  </si>
  <si>
    <t xml:space="preserve">Model wording (rewrite in your own words)</t>
  </si>
  <si>
    <t xml:space="preserve">Finding 1</t>
  </si>
  <si>
    <t xml:space="preserve">As of 30.09.2026, Baden-Württemberg has 19,018 public charging stations with 35,437 charge points, 16.8% of Germany's total, behind NRW and Bayern. BW has the highest charge points per station of the top three (1.86). Limitation: absolute counts; per-capita comparison requires population/EV data.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</si>
</sst>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22666</v>
      </c>
      <c r="C5" s="5" t="n">
        <v>41536</v>
      </c>
      <c r="D5" s="4" t="n">
        <f aca="false">RANK(B5,$B$5:$B$20,0)</f>
        <v>2</v>
      </c>
      <c r="E5" s="4" t="n">
        <f aca="false">RANK(C5,$C$5:$C$20,0)</f>
        <v>1</v>
      </c>
      <c r="F5" s="6" t="n">
        <f aca="false">C5/SUM($C$5:$C$20)</f>
        <v>0.196617326144481</v>
      </c>
      <c r="G5" s="7" t="n">
        <f aca="false">C5/B5</f>
        <v>1.83252448601429</v>
      </c>
    </row>
    <row r="6" customFormat="false" ht="15" hidden="false" customHeight="false" outlineLevel="0" collapsed="false">
      <c r="A6" s="4" t="s">
        <v>10</v>
      </c>
      <c r="B6" s="5" t="n">
        <v>23063</v>
      </c>
      <c r="C6" s="5" t="n">
        <v>40215</v>
      </c>
      <c r="D6" s="4" t="n">
        <f aca="false">RANK(B6,$B$5:$B$20,0)</f>
        <v>1</v>
      </c>
      <c r="E6" s="4" t="n">
        <f aca="false">RANK(C6,$C$5:$C$20,0)</f>
        <v>2</v>
      </c>
      <c r="F6" s="6" t="n">
        <f aca="false">C6/SUM($C$5:$C$20)</f>
        <v>0.190364160508963</v>
      </c>
      <c r="G6" s="7" t="n">
        <f aca="false">C6/B6</f>
        <v>1.74370203356025</v>
      </c>
    </row>
    <row r="7" customFormat="false" ht="15" hidden="false" customHeight="false" outlineLevel="0" collapsed="false">
      <c r="A7" s="8" t="s">
        <v>11</v>
      </c>
      <c r="B7" s="9" t="n">
        <v>19018</v>
      </c>
      <c r="C7" s="9" t="n">
        <v>35437</v>
      </c>
      <c r="D7" s="8" t="n">
        <f aca="false">RANK(B7,$B$5:$B$20,0)</f>
        <v>3</v>
      </c>
      <c r="E7" s="8" t="n">
        <f aca="false">RANK(C7,$C$5:$C$20,0)</f>
        <v>3</v>
      </c>
      <c r="F7" s="10" t="n">
        <f aca="false">C7/SUM($C$5:$C$20)</f>
        <v>0.167746730223949</v>
      </c>
      <c r="G7" s="11" t="n">
        <f aca="false">C7/B7</f>
        <v>1.86333999369019</v>
      </c>
    </row>
    <row r="8" customFormat="false" ht="15" hidden="false" customHeight="false" outlineLevel="0" collapsed="false">
      <c r="A8" s="4" t="s">
        <v>12</v>
      </c>
      <c r="B8" s="5" t="n">
        <v>11654</v>
      </c>
      <c r="C8" s="5" t="n">
        <v>21113</v>
      </c>
      <c r="D8" s="4" t="n">
        <f aca="false">RANK(B8,$B$5:$B$20,0)</f>
        <v>4</v>
      </c>
      <c r="E8" s="4" t="n">
        <f aca="false">RANK(C8,$C$5:$C$20,0)</f>
        <v>4</v>
      </c>
      <c r="F8" s="6" t="n">
        <f aca="false">C8/SUM($C$5:$C$20)</f>
        <v>0.0999417759747791</v>
      </c>
      <c r="G8" s="7" t="n">
        <f aca="false">C8/B8</f>
        <v>1.81165265145015</v>
      </c>
    </row>
    <row r="9" customFormat="false" ht="15" hidden="false" customHeight="false" outlineLevel="0" collapsed="false">
      <c r="A9" s="4" t="s">
        <v>13</v>
      </c>
      <c r="B9" s="5" t="n">
        <v>9040</v>
      </c>
      <c r="C9" s="5" t="n">
        <v>16240</v>
      </c>
      <c r="D9" s="4" t="n">
        <f aca="false">RANK(B9,$B$5:$B$20,0)</f>
        <v>5</v>
      </c>
      <c r="E9" s="4" t="n">
        <f aca="false">RANK(C9,$C$5:$C$20,0)</f>
        <v>5</v>
      </c>
      <c r="F9" s="6" t="n">
        <f aca="false">C9/SUM($C$5:$C$20)</f>
        <v>0.0768746479339938</v>
      </c>
      <c r="G9" s="7" t="n">
        <f aca="false">C9/B9</f>
        <v>1.79646017699115</v>
      </c>
    </row>
    <row r="10" customFormat="false" ht="15" hidden="false" customHeight="false" outlineLevel="0" collapsed="false">
      <c r="A10" s="4" t="s">
        <v>14</v>
      </c>
      <c r="B10" s="5" t="n">
        <v>4395</v>
      </c>
      <c r="C10" s="5" t="n">
        <v>8120</v>
      </c>
      <c r="D10" s="4" t="n">
        <f aca="false">RANK(B10,$B$5:$B$20,0)</f>
        <v>8</v>
      </c>
      <c r="E10" s="4" t="n">
        <f aca="false">RANK(C10,$C$5:$C$20,0)</f>
        <v>6</v>
      </c>
      <c r="F10" s="6" t="n">
        <f aca="false">C10/SUM($C$5:$C$20)</f>
        <v>0.0384373239669969</v>
      </c>
      <c r="G10" s="7" t="n">
        <f aca="false">C10/B10</f>
        <v>1.84755403868032</v>
      </c>
    </row>
    <row r="11" customFormat="false" ht="15" hidden="false" customHeight="false" outlineLevel="0" collapsed="false">
      <c r="A11" s="4" t="s">
        <v>15</v>
      </c>
      <c r="B11" s="5" t="n">
        <v>4572</v>
      </c>
      <c r="C11" s="5" t="n">
        <v>8092</v>
      </c>
      <c r="D11" s="4" t="n">
        <f aca="false">RANK(B11,$B$5:$B$20,0)</f>
        <v>7</v>
      </c>
      <c r="E11" s="4" t="n">
        <f aca="false">RANK(C11,$C$5:$C$20,0)</f>
        <v>7</v>
      </c>
      <c r="F11" s="6" t="n">
        <f aca="false">C11/SUM($C$5:$C$20)</f>
        <v>0.038304781470559</v>
      </c>
      <c r="G11" s="7" t="n">
        <f aca="false">C11/B11</f>
        <v>1.76990376202975</v>
      </c>
    </row>
    <row r="12" customFormat="false" ht="15" hidden="false" customHeight="false" outlineLevel="0" collapsed="false">
      <c r="A12" s="4" t="s">
        <v>16</v>
      </c>
      <c r="B12" s="5" t="n">
        <v>4999</v>
      </c>
      <c r="C12" s="5" t="n">
        <v>7644</v>
      </c>
      <c r="D12" s="4" t="n">
        <f aca="false">RANK(B12,$B$5:$B$20,0)</f>
        <v>6</v>
      </c>
      <c r="E12" s="4" t="n">
        <f aca="false">RANK(C12,$C$5:$C$20,0)</f>
        <v>8</v>
      </c>
      <c r="F12" s="6" t="n">
        <f aca="false">C12/SUM($C$5:$C$20)</f>
        <v>0.0361841015275523</v>
      </c>
      <c r="G12" s="7" t="n">
        <f aca="false">C12/B12</f>
        <v>1.52910582116423</v>
      </c>
    </row>
    <row r="13" customFormat="false" ht="15" hidden="false" customHeight="false" outlineLevel="0" collapsed="false">
      <c r="A13" s="4" t="s">
        <v>17</v>
      </c>
      <c r="B13" s="5" t="n">
        <v>3875</v>
      </c>
      <c r="C13" s="5" t="n">
        <v>7223</v>
      </c>
      <c r="D13" s="4" t="n">
        <f aca="false">RANK(B13,$B$5:$B$20,0)</f>
        <v>9</v>
      </c>
      <c r="E13" s="4" t="n">
        <f aca="false">RANK(C13,$C$5:$C$20,0)</f>
        <v>9</v>
      </c>
      <c r="F13" s="6" t="n">
        <f aca="false">C13/SUM($C$5:$C$20)</f>
        <v>0.0341912304203964</v>
      </c>
      <c r="G13" s="7" t="n">
        <f aca="false">C13/B13</f>
        <v>1.864</v>
      </c>
    </row>
    <row r="14" customFormat="false" ht="15" hidden="false" customHeight="false" outlineLevel="0" collapsed="false">
      <c r="A14" s="4" t="s">
        <v>18</v>
      </c>
      <c r="B14" s="5" t="n">
        <v>3419</v>
      </c>
      <c r="C14" s="5" t="n">
        <v>6141</v>
      </c>
      <c r="D14" s="4" t="n">
        <f aca="false">RANK(B14,$B$5:$B$20,0)</f>
        <v>10</v>
      </c>
      <c r="E14" s="4" t="n">
        <f aca="false">RANK(C14,$C$5:$C$20,0)</f>
        <v>10</v>
      </c>
      <c r="F14" s="6" t="n">
        <f aca="false">C14/SUM($C$5:$C$20)</f>
        <v>0.0290694096651882</v>
      </c>
      <c r="G14" s="7" t="n">
        <f aca="false">C14/B14</f>
        <v>1.79613922199474</v>
      </c>
    </row>
    <row r="15" customFormat="false" ht="15" hidden="false" customHeight="false" outlineLevel="0" collapsed="false">
      <c r="A15" s="4" t="s">
        <v>19</v>
      </c>
      <c r="B15" s="5" t="n">
        <v>3050</v>
      </c>
      <c r="C15" s="5" t="n">
        <v>5035</v>
      </c>
      <c r="D15" s="4" t="n">
        <f aca="false">RANK(B15,$B$5:$B$20,0)</f>
        <v>11</v>
      </c>
      <c r="E15" s="4" t="n">
        <f aca="false">RANK(C15,$C$5:$C$20,0)</f>
        <v>11</v>
      </c>
      <c r="F15" s="6" t="n">
        <f aca="false">C15/SUM($C$5:$C$20)</f>
        <v>0.0238339810558903</v>
      </c>
      <c r="G15" s="7" t="n">
        <f aca="false">C15/B15</f>
        <v>1.65081967213115</v>
      </c>
    </row>
    <row r="16" customFormat="false" ht="15" hidden="false" customHeight="false" outlineLevel="0" collapsed="false">
      <c r="A16" s="4" t="s">
        <v>20</v>
      </c>
      <c r="B16" s="5" t="n">
        <v>2342</v>
      </c>
      <c r="C16" s="5" t="n">
        <v>4255</v>
      </c>
      <c r="D16" s="4" t="n">
        <f aca="false">RANK(B16,$B$5:$B$20,0)</f>
        <v>12</v>
      </c>
      <c r="E16" s="4" t="n">
        <f aca="false">RANK(C16,$C$5:$C$20,0)</f>
        <v>12</v>
      </c>
      <c r="F16" s="6" t="n">
        <f aca="false">C16/SUM($C$5:$C$20)</f>
        <v>0.0201417257979768</v>
      </c>
      <c r="G16" s="7" t="n">
        <f aca="false">C16/B16</f>
        <v>1.81682322801025</v>
      </c>
    </row>
    <row r="17" customFormat="false" ht="15" hidden="false" customHeight="false" outlineLevel="0" collapsed="false">
      <c r="A17" s="4" t="s">
        <v>21</v>
      </c>
      <c r="B17" s="5" t="n">
        <v>2001</v>
      </c>
      <c r="C17" s="5" t="n">
        <v>3785</v>
      </c>
      <c r="D17" s="4" t="n">
        <f aca="false">RANK(B17,$B$5:$B$20,0)</f>
        <v>13</v>
      </c>
      <c r="E17" s="4" t="n">
        <f aca="false">RANK(C17,$C$5:$C$20,0)</f>
        <v>13</v>
      </c>
      <c r="F17" s="6" t="n">
        <f aca="false">C17/SUM($C$5:$C$20)</f>
        <v>0.0179169053220546</v>
      </c>
      <c r="G17" s="7" t="n">
        <f aca="false">C17/B17</f>
        <v>1.89155422288856</v>
      </c>
    </row>
    <row r="18" customFormat="false" ht="15" hidden="false" customHeight="false" outlineLevel="0" collapsed="false">
      <c r="A18" s="4" t="s">
        <v>22</v>
      </c>
      <c r="B18" s="5" t="n">
        <v>1875</v>
      </c>
      <c r="C18" s="5" t="n">
        <v>3298</v>
      </c>
      <c r="D18" s="4" t="n">
        <f aca="false">RANK(B18,$B$5:$B$20,0)</f>
        <v>14</v>
      </c>
      <c r="E18" s="4" t="n">
        <f aca="false">RANK(C18,$C$5:$C$20,0)</f>
        <v>14</v>
      </c>
      <c r="F18" s="6" t="n">
        <f aca="false">C18/SUM($C$5:$C$20)</f>
        <v>0.0156116126161522</v>
      </c>
      <c r="G18" s="7" t="n">
        <f aca="false">C18/B18</f>
        <v>1.75893333333333</v>
      </c>
    </row>
    <row r="19" customFormat="false" ht="15" hidden="false" customHeight="false" outlineLevel="0" collapsed="false">
      <c r="A19" s="4" t="s">
        <v>23</v>
      </c>
      <c r="B19" s="5" t="n">
        <v>892</v>
      </c>
      <c r="C19" s="5" t="n">
        <v>1600</v>
      </c>
      <c r="D19" s="4" t="n">
        <f aca="false">RANK(B19,$B$5:$B$20,0)</f>
        <v>15</v>
      </c>
      <c r="E19" s="4" t="n">
        <f aca="false">RANK(C19,$C$5:$C$20,0)</f>
        <v>15</v>
      </c>
      <c r="F19" s="6" t="n">
        <f aca="false">C19/SUM($C$5:$C$20)</f>
        <v>0.00757385693930974</v>
      </c>
      <c r="G19" s="7" t="n">
        <f aca="false">C19/B19</f>
        <v>1.79372197309417</v>
      </c>
    </row>
    <row r="20" customFormat="false" ht="15" hidden="false" customHeight="false" outlineLevel="0" collapsed="false">
      <c r="A20" s="4" t="s">
        <v>24</v>
      </c>
      <c r="B20" s="5" t="n">
        <v>801</v>
      </c>
      <c r="C20" s="5" t="n">
        <v>1519</v>
      </c>
      <c r="D20" s="4" t="n">
        <f aca="false">RANK(B20,$B$5:$B$20,0)</f>
        <v>16</v>
      </c>
      <c r="E20" s="4" t="n">
        <f aca="false">RANK(C20,$C$5:$C$20,0)</f>
        <v>16</v>
      </c>
      <c r="F20" s="6" t="n">
        <f aca="false">C20/SUM($C$5:$C$20)</f>
        <v>0.00719043043175718</v>
      </c>
      <c r="G20" s="7" t="n">
        <f aca="false">C20/B20</f>
        <v>1.89637952559301</v>
      </c>
    </row>
    <row r="21" customFormat="false" ht="15" hidden="false" customHeight="false" outlineLevel="0" collapsed="false">
      <c r="A21" s="12" t="s">
        <v>25</v>
      </c>
      <c r="B21" s="13" t="n">
        <f aca="false">SUM(B5:B20)</f>
        <v>117662</v>
      </c>
      <c r="C21" s="13" t="n">
        <f aca="false">SUM(C5:C20)</f>
        <v>211253</v>
      </c>
      <c r="F21" s="14" t="n">
        <f aca="false">SUM(F5:F20)</f>
        <v>1</v>
      </c>
      <c r="G21" s="15" t="n">
        <f aca="false">C21/B21</f>
        <v>1.79542248134487</v>
      </c>
    </row>
    <row r="23" customFormat="false" ht="15" hidden="false" customHeight="false" outlineLevel="0" collapsed="false">
      <c r="A23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27</v>
      </c>
    </row>
    <row r="3" customFormat="false" ht="15" hidden="false" customHeight="false" outlineLevel="0" collapsed="false">
      <c r="A3" s="16" t="s">
        <v>28</v>
      </c>
    </row>
    <row r="4" customFormat="false" ht="15" hidden="false" customHeight="false" outlineLevel="0" collapsed="false">
      <c r="A4" s="17" t="s">
        <v>29</v>
      </c>
      <c r="B4" s="18" t="s">
        <v>30</v>
      </c>
    </row>
    <row r="5" customFormat="false" ht="26.85" hidden="false" customHeight="false" outlineLevel="0" collapsed="false">
      <c r="A5" s="17" t="s">
        <v>31</v>
      </c>
      <c r="B5" s="18" t="s">
        <v>32</v>
      </c>
    </row>
    <row r="6" customFormat="false" ht="26.85" hidden="false" customHeight="false" outlineLevel="0" collapsed="false">
      <c r="A6" s="18"/>
      <c r="B6" s="18" t="s">
        <v>33</v>
      </c>
    </row>
    <row r="7" customFormat="false" ht="26.85" hidden="false" customHeight="false" outlineLevel="0" collapsed="false">
      <c r="A7" s="18"/>
      <c r="B7" s="18" t="s">
        <v>34</v>
      </c>
    </row>
    <row r="8" customFormat="false" ht="15" hidden="false" customHeight="false" outlineLevel="0" collapsed="false">
      <c r="A8" s="17" t="s">
        <v>35</v>
      </c>
      <c r="B8" s="18" t="s">
        <v>36</v>
      </c>
    </row>
    <row r="10" customFormat="false" ht="15" hidden="false" customHeight="false" outlineLevel="0" collapsed="false">
      <c r="A10" s="16" t="s">
        <v>37</v>
      </c>
    </row>
    <row r="11" customFormat="false" ht="26.85" hidden="false" customHeight="false" outlineLevel="0" collapsed="false">
      <c r="A11" s="17" t="s">
        <v>38</v>
      </c>
      <c r="B11" s="18" t="s">
        <v>39</v>
      </c>
    </row>
    <row r="12" customFormat="false" ht="39.55" hidden="false" customHeight="false" outlineLevel="0" collapsed="false">
      <c r="A12" s="17" t="s">
        <v>40</v>
      </c>
      <c r="B12" s="18" t="s">
        <v>41</v>
      </c>
    </row>
    <row r="14" customFormat="false" ht="39.55" hidden="false" customHeight="false" outlineLevel="0" collapsed="false">
      <c r="A14" s="16" t="s">
        <v>42</v>
      </c>
    </row>
    <row r="15" customFormat="false" ht="39.55" hidden="false" customHeight="false" outlineLevel="0" collapsed="false">
      <c r="A15" s="17" t="s">
        <v>43</v>
      </c>
      <c r="B15" s="18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2026-10-23T09:35:24Z</dcterms:created>
  <dc:creator>openpyxl</dc:creator>
  <dc:description/>
  <dc:language>en-US</dc:language>
  <cp:lastModifiedBy/>
  <dcterms:modified xsi:type="dcterms:W3CDTF">2026-10-23T09:35:24Z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